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OQ ELASER\Desktop\D.misaaniyada\"/>
    </mc:Choice>
  </mc:AlternateContent>
  <bookViews>
    <workbookView xWindow="-110" yWindow="-110" windowWidth="22620" windowHeight="13500" tabRatio="500"/>
  </bookViews>
  <sheets>
    <sheet name="Foomka Miisaaniyadda 2027" sheetId="1" r:id="rId1"/>
  </sheets>
  <definedNames>
    <definedName name="_xlnm.Print_Area" localSheetId="0">'Foomka Miisaaniyadda 2027'!$A$1:$H$114</definedName>
    <definedName name="_xlnm.Print_Titles" localSheetId="0">'Foomka Miisaaniyadda 2027'!$2:$3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" l="1"/>
  <c r="F20" i="1" s="1"/>
  <c r="C18" i="1"/>
  <c r="C17" i="1"/>
  <c r="F17" i="1" s="1"/>
  <c r="C40" i="1"/>
  <c r="E40" i="1" s="1"/>
  <c r="E69" i="1"/>
  <c r="D19" i="1" s="1"/>
  <c r="D69" i="1"/>
  <c r="C97" i="1"/>
  <c r="C85" i="1"/>
  <c r="C100" i="1" s="1"/>
  <c r="D18" i="1"/>
  <c r="E18" i="1" s="1"/>
  <c r="D17" i="1"/>
  <c r="C106" i="1"/>
  <c r="C93" i="1"/>
  <c r="D90" i="1" s="1"/>
  <c r="E56" i="1"/>
  <c r="D56" i="1"/>
  <c r="C56" i="1"/>
  <c r="F55" i="1"/>
  <c r="F54" i="1"/>
  <c r="F53" i="1"/>
  <c r="F52" i="1"/>
  <c r="F51" i="1"/>
  <c r="F50" i="1"/>
  <c r="F49" i="1"/>
  <c r="F48" i="1"/>
  <c r="F47" i="1"/>
  <c r="F46" i="1"/>
  <c r="F45" i="1"/>
  <c r="F44" i="1"/>
  <c r="E39" i="1"/>
  <c r="E38" i="1"/>
  <c r="E37" i="1"/>
  <c r="E36" i="1"/>
  <c r="E35" i="1"/>
  <c r="E34" i="1"/>
  <c r="F30" i="1"/>
  <c r="C101" i="1" s="1"/>
  <c r="E30" i="1"/>
  <c r="D30" i="1"/>
  <c r="C30" i="1"/>
  <c r="D20" i="1"/>
  <c r="F18" i="1"/>
  <c r="D100" i="1" l="1"/>
  <c r="F100" i="1" s="1"/>
  <c r="C19" i="1"/>
  <c r="F19" i="1" s="1"/>
  <c r="D91" i="1"/>
  <c r="D92" i="1"/>
  <c r="E20" i="1"/>
  <c r="C99" i="1"/>
  <c r="F56" i="1"/>
  <c r="D97" i="1" s="1"/>
  <c r="D93" i="1"/>
  <c r="D89" i="1"/>
  <c r="E19" i="1" l="1"/>
  <c r="C21" i="1"/>
  <c r="E100" i="1"/>
  <c r="D40" i="1"/>
  <c r="D98" i="1" s="1"/>
  <c r="E97" i="1"/>
  <c r="F97" i="1" s="1"/>
  <c r="D21" i="1" l="1"/>
  <c r="C98" i="1" s="1"/>
  <c r="E17" i="1"/>
  <c r="E21" i="1" s="1"/>
  <c r="F21" i="1" l="1"/>
  <c r="D101" i="1"/>
  <c r="E101" i="1" s="1"/>
  <c r="F101" i="1" s="1"/>
  <c r="E98" i="1"/>
  <c r="F98" i="1" s="1"/>
  <c r="D99" i="1"/>
  <c r="E99" i="1" s="1"/>
  <c r="F99" i="1" s="1"/>
</calcChain>
</file>

<file path=xl/sharedStrings.xml><?xml version="1.0" encoding="utf-8"?>
<sst xmlns="http://schemas.openxmlformats.org/spreadsheetml/2006/main" count="108" uniqueCount="97">
  <si>
    <t>LIFAAQA III — FOOMAMKA HEERKA AH EE DIYAARINTA MIISAANIYADDA 2027</t>
  </si>
  <si>
    <t>Hay'adaha Miisaaniyaddu waa inay adeegsadaan foomamkan marka ay diyaarinayaan oo gudbinayaan qiyaasaha miisaaniyadda 2027.  •  Dhammaan tirooyinka waa Doollarka Maraykanka (US$).</t>
  </si>
  <si>
    <t>FOOM A — SOO-KOOBIDDA HAY'ADDA</t>
  </si>
  <si>
    <t>Qodob</t>
  </si>
  <si>
    <t>Faahfaahin</t>
  </si>
  <si>
    <t>Hay'adda</t>
  </si>
  <si>
    <t>Lambarka Qoondaynta</t>
  </si>
  <si>
    <t>Qaybta</t>
  </si>
  <si>
    <t>Mas'uulka Xisaab-celinta</t>
  </si>
  <si>
    <t>Qofka Xidhiidhka</t>
  </si>
  <si>
    <t>Telefoon</t>
  </si>
  <si>
    <t>Iimayl</t>
  </si>
  <si>
    <t>FOOM B — SOO-KOOBIDDA MIISAANIYADDA HAY'ADDA</t>
  </si>
  <si>
    <t>Qaybta Miisaaniyadda</t>
  </si>
  <si>
    <t>2026 La Ansixiyey (US$)</t>
  </si>
  <si>
    <t>Soo-jeedinta 2027 (US$)</t>
  </si>
  <si>
    <t>Isbeddel (US$)</t>
  </si>
  <si>
    <t>Isbeddel (%)</t>
  </si>
  <si>
    <t>Faallo</t>
  </si>
  <si>
    <t>Shaqaalaha</t>
  </si>
  <si>
    <t>Agabyada iyo adeegyada</t>
  </si>
  <si>
    <t>Kharashaadka raasamaalka</t>
  </si>
  <si>
    <t>Kharashaad kale</t>
  </si>
  <si>
    <t>WADARTA MIISAANIYADDA</t>
  </si>
  <si>
    <t>FOOM C — QIYAASAHA DAKHLIGA</t>
  </si>
  <si>
    <t>Isha Dakhliga</t>
  </si>
  <si>
    <t>Dhabta 2025</t>
  </si>
  <si>
    <t>2026 La Ansixiyey</t>
  </si>
  <si>
    <t>Waxqabadka 2026</t>
  </si>
  <si>
    <t>Qiyaasta 2027</t>
  </si>
  <si>
    <t>Cashuuraha</t>
  </si>
  <si>
    <t>Ajuurooyinka iyo khidmadaha</t>
  </si>
  <si>
    <t>Rukhsadaha</t>
  </si>
  <si>
    <t>Ganaaxyada</t>
  </si>
  <si>
    <t>Dakhli kale</t>
  </si>
  <si>
    <t>WADARTA DAKHLIGA</t>
  </si>
  <si>
    <t>FOOM D — MIISAANIYADDA KHARASHAADKA JOOGTADA AH</t>
  </si>
  <si>
    <t>Qaybta Kharashaadka</t>
  </si>
  <si>
    <t>Soo-jeedinta 2027</t>
  </si>
  <si>
    <t>Sababaynta</t>
  </si>
  <si>
    <t>Kharashaadka shaqaalaha</t>
  </si>
  <si>
    <t>Adeegyada aasaasiga ah</t>
  </si>
  <si>
    <t>Safarka iyo gaadiidka</t>
  </si>
  <si>
    <t>Hawlgalka iyo dayactirka</t>
  </si>
  <si>
    <t>Kharashaad joogto ah oo kale</t>
  </si>
  <si>
    <t>WADARTA KHARASHAADKA JOOGTADA AH</t>
  </si>
  <si>
    <t>FOOM E — MIISAANIYADDA SHAQAALAHA</t>
  </si>
  <si>
    <t>Magaca Jagada</t>
  </si>
  <si>
    <t>Qaab-dhismeedka La Ansixiyey</t>
  </si>
  <si>
    <t>Jagooyinka La Buuxiyey</t>
  </si>
  <si>
    <t>Kharashka Bishii (US$)</t>
  </si>
  <si>
    <t>Kharashka Sannadkii (US$)</t>
  </si>
  <si>
    <t>WADARTA KHARASHKA SHAQAALAHA</t>
  </si>
  <si>
    <t>FOOM F — MASHAARIICDA RAASAMAALKA</t>
  </si>
  <si>
    <t>Mashruuca</t>
  </si>
  <si>
    <t>Goobta</t>
  </si>
  <si>
    <t>Wadarta Kharashka (US$)</t>
  </si>
  <si>
    <t>Qoondaynta 2027 (US$)</t>
  </si>
  <si>
    <t>Isha Maalgelinta</t>
  </si>
  <si>
    <t>Dhammaystirka La Filayo</t>
  </si>
  <si>
    <t>WADARTA KHARASHKA RAASAMAALKA</t>
  </si>
  <si>
    <t xml:space="preserve">Sababaynta Mashruuca: </t>
  </si>
  <si>
    <t>FOOM G — QORSHAHA IIBSIGA SANNADLAHA AH</t>
  </si>
  <si>
    <t>Shayga Iibsiga</t>
  </si>
  <si>
    <t>Kharashka La Qiyaasay (US$)</t>
  </si>
  <si>
    <t>Habka</t>
  </si>
  <si>
    <t>Saddex-biloodka</t>
  </si>
  <si>
    <t>Waaxda Mas'uulka ah</t>
  </si>
  <si>
    <t>WADARTA QORSHAHA IIBSIGA</t>
  </si>
  <si>
    <t>FOOM H — SAADAASHA QULQULKA LACAGTA EE SADDEX-BILOODLE</t>
  </si>
  <si>
    <t>Baahida Lacagta (US$)</t>
  </si>
  <si>
    <t>% Wadarta</t>
  </si>
  <si>
    <t>Saddex-biloodka 1aad (Janaayo – Maarso 2027)</t>
  </si>
  <si>
    <t>Saddex-biloodka 2aad (Abriil – Juun 2027)</t>
  </si>
  <si>
    <t>Saddex-biloodka 3aad (Luulyo – Sebteembar 2027)</t>
  </si>
  <si>
    <t>Saddex-biloodka 4aad (Oktoobar – Diseembar 2027)</t>
  </si>
  <si>
    <t>WADARTA QULQULKA LACAGTA</t>
  </si>
  <si>
    <t>HUBINTA TOOSAN — ISKU-WAAFAJINTA FOOMAMKA (si otomaatig ah ayey u shaqeysaa)</t>
  </si>
  <si>
    <t>Hubinta Isku-waafajinta</t>
  </si>
  <si>
    <t>Qiimaha Xisaabsan</t>
  </si>
  <si>
    <t>Qiimaha La Barbardhigayo</t>
  </si>
  <si>
    <t>Faraqa</t>
  </si>
  <si>
    <t>Natiijada</t>
  </si>
  <si>
    <t>Kharashka shaqaalaha (Foom D) = Wadarta Foom E</t>
  </si>
  <si>
    <t>Wadarta Foom B = Joogto (Foom D) + Raasamaal (Foom F)</t>
  </si>
  <si>
    <t>Qulqulka lacagta (Foom H) = Wadarta Miisaaniyadda (Foom B)</t>
  </si>
  <si>
    <t>Qorshaha iibsiga (Foom G) ≤ Agab+Adeeg+Raasamaal</t>
  </si>
  <si>
    <t>Dakhliga 2027 (Foom C) = Kharashka 2027 (Foom B)</t>
  </si>
  <si>
    <t>Fiiro gaar ah: haddii mid ka mid ah safafka kore uu muujiyo "KALA DUWAN", foomka ha la gudbin — marka hore saxi tirooyinka xidhiidhka leh.</t>
  </si>
  <si>
    <t>BAYAANKA XAQIIJINTA</t>
  </si>
  <si>
    <t>Waxaan caddeynayaa in xogta ku jirta foomamkan miisaaniyaddu ay dhammaystiran tahay, sax tahay, laguna diyaariyey si waafaqsan Wareegtada Diyaarinta Miisaaniyadda 2027.</t>
  </si>
  <si>
    <t>Diyaariyey (Sarkaalka Miisaaniyadda)</t>
  </si>
  <si>
    <t>Saxiixa / Taariikhda</t>
  </si>
  <si>
    <t>Dib u eegay (Agaasimaha Maaliyadda)</t>
  </si>
  <si>
    <t>Ansixiyey (Mas'uulka Xisaab-celinta)</t>
  </si>
  <si>
    <t>Shaabadda Rasmiga ah</t>
  </si>
  <si>
    <t>Caddaynta Kheyraadka Aadanaha — Madaxa Kheyraadka Aadanaha: ______________________________    Saxiixa: __________________    Taariikhda: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</si>
</sst>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;&quot;($&quot;#,##0\);\–"/>
    <numFmt numFmtId="165" formatCode="0.0%;\(0.0%\);\–"/>
    <numFmt numFmtId="166" formatCode="#,##0;\(#,##0\);\–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7700"/>
      <name val="Arial"/>
      <charset val="1"/>
    </font>
    <font>
      <b/>
      <sz val="10"/>
      <color rgb="FF1F3864"/>
      <name val="Arial"/>
      <charset val="1"/>
    </font>
    <font>
      <sz val="10"/>
      <color rgb="FF808080"/>
      <name val="Arial"/>
      <charset val="1"/>
    </font>
    <font>
      <b/>
      <sz val="9"/>
      <color rgb="FFC00000"/>
      <name val="Arial"/>
      <charset val="1"/>
    </font>
    <font>
      <i/>
      <sz val="9"/>
      <color rgb="FF9C0006"/>
      <name val="Arial"/>
      <charset val="1"/>
    </font>
    <font>
      <i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9000"/>
        <bgColor rgb="FF808000"/>
      </patternFill>
    </fill>
    <fill>
      <patternFill patternType="solid">
        <fgColor rgb="FF2F5597"/>
        <bgColor rgb="FF1F3864"/>
      </patternFill>
    </fill>
    <fill>
      <patternFill patternType="solid">
        <fgColor rgb="FFD6E0F0"/>
        <bgColor rgb="FFC6EFCE"/>
      </patternFill>
    </fill>
    <fill>
      <patternFill patternType="solid">
        <fgColor rgb="FFFFFBEA"/>
        <bgColor rgb="FFF7F7F7"/>
      </patternFill>
    </fill>
    <fill>
      <patternFill patternType="solid">
        <fgColor rgb="FFF2F2F2"/>
        <bgColor rgb="FFF7F7F7"/>
      </patternFill>
    </fill>
    <fill>
      <patternFill patternType="solid">
        <fgColor rgb="FFFFF2CC"/>
        <bgColor rgb="FFFFFBEA"/>
      </patternFill>
    </fill>
    <fill>
      <patternFill patternType="solid">
        <fgColor theme="6" tint="0.79998168889431442"/>
        <bgColor rgb="FFF7F7F7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indent="1"/>
    </xf>
    <xf numFmtId="164" fontId="9" fillId="7" borderId="3" xfId="0" applyNumberFormat="1" applyFont="1" applyFill="1" applyBorder="1" applyAlignment="1">
      <alignment horizontal="right" vertical="center" indent="1"/>
    </xf>
    <xf numFmtId="164" fontId="8" fillId="7" borderId="3" xfId="0" applyNumberFormat="1" applyFont="1" applyFill="1" applyBorder="1" applyAlignment="1">
      <alignment horizontal="right" vertical="center" indent="1"/>
    </xf>
    <xf numFmtId="165" fontId="8" fillId="7" borderId="3" xfId="0" applyNumberFormat="1" applyFont="1" applyFill="1" applyBorder="1" applyAlignment="1">
      <alignment horizontal="right" vertical="center" indent="1"/>
    </xf>
    <xf numFmtId="164" fontId="7" fillId="6" borderId="3" xfId="0" applyNumberFormat="1" applyFont="1" applyFill="1" applyBorder="1" applyAlignment="1">
      <alignment horizontal="right" vertical="center" indent="1"/>
    </xf>
    <xf numFmtId="0" fontId="10" fillId="8" borderId="4" xfId="0" applyFont="1" applyFill="1" applyBorder="1" applyAlignment="1">
      <alignment horizontal="left" vertical="center" indent="1"/>
    </xf>
    <xf numFmtId="164" fontId="10" fillId="8" borderId="4" xfId="0" applyNumberFormat="1" applyFont="1" applyFill="1" applyBorder="1" applyAlignment="1">
      <alignment horizontal="right" vertical="center" indent="1"/>
    </xf>
    <xf numFmtId="165" fontId="10" fillId="8" borderId="4" xfId="0" applyNumberFormat="1" applyFont="1" applyFill="1" applyBorder="1" applyAlignment="1">
      <alignment horizontal="right" vertical="center" indent="1"/>
    </xf>
    <xf numFmtId="0" fontId="10" fillId="8" borderId="4" xfId="0" applyFont="1" applyFill="1" applyBorder="1"/>
    <xf numFmtId="166" fontId="11" fillId="6" borderId="3" xfId="0" applyNumberFormat="1" applyFont="1" applyFill="1" applyBorder="1" applyAlignment="1">
      <alignment horizontal="right" vertical="center" indent="1"/>
    </xf>
    <xf numFmtId="164" fontId="11" fillId="6" borderId="3" xfId="0" applyNumberFormat="1" applyFont="1" applyFill="1" applyBorder="1" applyAlignment="1">
      <alignment horizontal="right" vertical="center" indent="1"/>
    </xf>
    <xf numFmtId="0" fontId="12" fillId="6" borderId="3" xfId="0" applyFont="1" applyFill="1" applyBorder="1" applyAlignment="1">
      <alignment horizontal="left" vertical="center" wrapText="1" indent="1"/>
    </xf>
    <xf numFmtId="166" fontId="7" fillId="6" borderId="3" xfId="0" applyNumberFormat="1" applyFont="1" applyFill="1" applyBorder="1" applyAlignment="1">
      <alignment horizontal="right" vertical="center" indent="1"/>
    </xf>
    <xf numFmtId="166" fontId="10" fillId="8" borderId="4" xfId="0" applyNumberFormat="1" applyFont="1" applyFill="1" applyBorder="1" applyAlignment="1">
      <alignment horizontal="right" vertical="center" indent="1"/>
    </xf>
    <xf numFmtId="0" fontId="3" fillId="0" borderId="3" xfId="0" applyFont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 indent="1"/>
    </xf>
    <xf numFmtId="0" fontId="3" fillId="0" borderId="3" xfId="0" applyFont="1" applyBorder="1" applyAlignment="1"/>
    <xf numFmtId="0" fontId="8" fillId="9" borderId="3" xfId="0" applyFont="1" applyFill="1" applyBorder="1" applyAlignment="1">
      <alignment vertical="top" wrapText="1"/>
    </xf>
    <xf numFmtId="0" fontId="6" fillId="7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4" fillId="0" borderId="3" xfId="0" applyFont="1" applyBorder="1" applyAlignment="1">
      <alignment horizontal="left" vertical="center" wrapText="1" indent="1"/>
    </xf>
    <xf numFmtId="0" fontId="9" fillId="7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sz val="10"/>
        <color rgb="FF006100"/>
        <name val="Arial"/>
      </font>
      <fill>
        <patternFill>
          <bgColor rgb="FFC6EFCE"/>
        </patternFill>
      </fill>
    </dxf>
    <dxf>
      <font>
        <b/>
        <sz val="10"/>
        <color rgb="FF006100"/>
        <name val="Arial"/>
      </font>
    </dxf>
    <dxf>
      <font>
        <b/>
        <sz val="10"/>
        <color rgb="FF9C0006"/>
        <name val="Arial"/>
      </font>
    </dxf>
    <dxf>
      <font>
        <b/>
        <sz val="10"/>
        <color rgb="FF006100"/>
        <name val="Arial"/>
      </font>
    </dxf>
    <dxf>
      <font>
        <b/>
        <sz val="10"/>
        <color rgb="FF9C0006"/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77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6EFCE"/>
      <rgbColor rgb="FFFFFBEA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61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13"/>
  <sheetViews>
    <sheetView showGridLines="0" tabSelected="1" zoomScale="91" zoomScaleNormal="100" workbookViewId="0">
      <pane ySplit="4" topLeftCell="A107" activePane="bottomLeft" state="frozen"/>
      <selection pane="bottomLeft" activeCell="C89" sqref="C89:C92"/>
    </sheetView>
  </sheetViews>
  <sheetFormatPr defaultColWidth="8.6328125" defaultRowHeight="14.5" x14ac:dyDescent="0.35"/>
  <cols>
    <col min="1" max="1" width="2.1796875" customWidth="1"/>
    <col min="2" max="2" width="44" customWidth="1"/>
    <col min="3" max="6" width="16" customWidth="1"/>
    <col min="7" max="7" width="22" customWidth="1"/>
    <col min="8" max="8" width="2.1796875" customWidth="1"/>
  </cols>
  <sheetData>
    <row r="1" spans="2:7" ht="4" customHeight="1" x14ac:dyDescent="0.35"/>
    <row r="2" spans="2:7" ht="33.75" customHeight="1" x14ac:dyDescent="0.35">
      <c r="B2" s="19" t="s">
        <v>0</v>
      </c>
      <c r="C2" s="19"/>
      <c r="D2" s="19"/>
      <c r="E2" s="19"/>
      <c r="F2" s="19"/>
      <c r="G2" s="19"/>
    </row>
    <row r="3" spans="2:7" ht="25.5" customHeight="1" x14ac:dyDescent="0.35">
      <c r="B3" s="20" t="s">
        <v>1</v>
      </c>
      <c r="C3" s="20"/>
      <c r="D3" s="20"/>
      <c r="E3" s="20"/>
      <c r="F3" s="20"/>
      <c r="G3" s="20"/>
    </row>
    <row r="4" spans="2:7" ht="6.5" customHeight="1" x14ac:dyDescent="0.35"/>
    <row r="5" spans="2:7" ht="21" customHeight="1" x14ac:dyDescent="0.35">
      <c r="B5" s="21" t="s">
        <v>2</v>
      </c>
      <c r="C5" s="21"/>
      <c r="D5" s="21"/>
      <c r="E5" s="21"/>
      <c r="F5" s="21"/>
      <c r="G5" s="21"/>
    </row>
    <row r="6" spans="2:7" ht="30" customHeight="1" x14ac:dyDescent="0.35">
      <c r="B6" s="1" t="s">
        <v>3</v>
      </c>
      <c r="C6" s="22" t="s">
        <v>4</v>
      </c>
      <c r="D6" s="22"/>
      <c r="E6" s="22"/>
      <c r="F6" s="22"/>
      <c r="G6" s="22"/>
    </row>
    <row r="7" spans="2:7" ht="18.75" customHeight="1" x14ac:dyDescent="0.35">
      <c r="B7" s="2" t="s">
        <v>5</v>
      </c>
      <c r="C7" s="23"/>
      <c r="D7" s="23"/>
      <c r="E7" s="23"/>
      <c r="F7" s="23"/>
      <c r="G7" s="23"/>
    </row>
    <row r="8" spans="2:7" ht="18.75" customHeight="1" x14ac:dyDescent="0.35">
      <c r="B8" s="2" t="s">
        <v>6</v>
      </c>
      <c r="C8" s="23"/>
      <c r="D8" s="23"/>
      <c r="E8" s="23"/>
      <c r="F8" s="23"/>
      <c r="G8" s="23"/>
    </row>
    <row r="9" spans="2:7" ht="18.75" customHeight="1" x14ac:dyDescent="0.35">
      <c r="B9" s="2" t="s">
        <v>7</v>
      </c>
      <c r="C9" s="23"/>
      <c r="D9" s="23"/>
      <c r="E9" s="23"/>
      <c r="F9" s="23"/>
      <c r="G9" s="23"/>
    </row>
    <row r="10" spans="2:7" ht="18.75" customHeight="1" x14ac:dyDescent="0.35">
      <c r="B10" s="2" t="s">
        <v>8</v>
      </c>
      <c r="C10" s="23"/>
      <c r="D10" s="23"/>
      <c r="E10" s="23"/>
      <c r="F10" s="23"/>
      <c r="G10" s="23"/>
    </row>
    <row r="11" spans="2:7" ht="18.75" customHeight="1" x14ac:dyDescent="0.35">
      <c r="B11" s="2" t="s">
        <v>9</v>
      </c>
      <c r="C11" s="23"/>
      <c r="D11" s="23"/>
      <c r="E11" s="23"/>
      <c r="F11" s="23"/>
      <c r="G11" s="23"/>
    </row>
    <row r="12" spans="2:7" ht="18.75" customHeight="1" x14ac:dyDescent="0.35">
      <c r="B12" s="2" t="s">
        <v>10</v>
      </c>
      <c r="C12" s="23"/>
      <c r="D12" s="23"/>
      <c r="E12" s="23"/>
      <c r="F12" s="23"/>
      <c r="G12" s="23"/>
    </row>
    <row r="13" spans="2:7" ht="18.75" customHeight="1" x14ac:dyDescent="0.35">
      <c r="B13" s="2" t="s">
        <v>11</v>
      </c>
      <c r="C13" s="23"/>
      <c r="D13" s="23"/>
      <c r="E13" s="23"/>
      <c r="F13" s="23"/>
      <c r="G13" s="23"/>
    </row>
    <row r="15" spans="2:7" ht="21" customHeight="1" x14ac:dyDescent="0.35">
      <c r="B15" s="21" t="s">
        <v>12</v>
      </c>
      <c r="C15" s="21"/>
      <c r="D15" s="21"/>
      <c r="E15" s="21"/>
      <c r="F15" s="21"/>
      <c r="G15" s="21"/>
    </row>
    <row r="16" spans="2:7" ht="30" customHeight="1" x14ac:dyDescent="0.35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</row>
    <row r="17" spans="2:7" ht="18.75" customHeight="1" x14ac:dyDescent="0.35">
      <c r="B17" s="4" t="s">
        <v>19</v>
      </c>
      <c r="C17" s="5">
        <f>C34</f>
        <v>0</v>
      </c>
      <c r="D17" s="5">
        <f>D34</f>
        <v>0</v>
      </c>
      <c r="E17" s="6">
        <f>D17-C17</f>
        <v>0</v>
      </c>
      <c r="F17" s="7" t="str">
        <f>IF(N(C17)=0,"",(D17-C17)/C17)</f>
        <v/>
      </c>
      <c r="G17" s="3"/>
    </row>
    <row r="18" spans="2:7" ht="18.75" customHeight="1" x14ac:dyDescent="0.35">
      <c r="B18" s="4" t="s">
        <v>20</v>
      </c>
      <c r="C18" s="5">
        <f>C35</f>
        <v>0</v>
      </c>
      <c r="D18" s="5">
        <f>D35</f>
        <v>0</v>
      </c>
      <c r="E18" s="6">
        <f>D18-C18</f>
        <v>0</v>
      </c>
      <c r="F18" s="7" t="str">
        <f>IF(N(C18)=0,"",(D18-C18)/C18)</f>
        <v/>
      </c>
      <c r="G18" s="3"/>
    </row>
    <row r="19" spans="2:7" ht="18.75" customHeight="1" x14ac:dyDescent="0.35">
      <c r="B19" s="4" t="s">
        <v>21</v>
      </c>
      <c r="C19" s="5">
        <f>E69</f>
        <v>0</v>
      </c>
      <c r="D19" s="5">
        <f>E69</f>
        <v>0</v>
      </c>
      <c r="E19" s="6">
        <f>D19-C19</f>
        <v>0</v>
      </c>
      <c r="F19" s="7" t="str">
        <f>IF(N(C19)=0,"",(D19-C19)/C19)</f>
        <v/>
      </c>
      <c r="G19" s="3"/>
    </row>
    <row r="20" spans="2:7" ht="18.75" customHeight="1" x14ac:dyDescent="0.35">
      <c r="B20" s="4" t="s">
        <v>22</v>
      </c>
      <c r="C20" s="5">
        <f>SUM(C36:C39)</f>
        <v>0</v>
      </c>
      <c r="D20" s="5">
        <f>SUM(D36:D39)</f>
        <v>0</v>
      </c>
      <c r="E20" s="6">
        <f>D20-C20</f>
        <v>0</v>
      </c>
      <c r="F20" s="7" t="str">
        <f>IF(N(C20)=0,"",(D20-C20)/C20)</f>
        <v/>
      </c>
      <c r="G20" s="3"/>
    </row>
    <row r="21" spans="2:7" ht="21" customHeight="1" x14ac:dyDescent="0.35">
      <c r="B21" s="9" t="s">
        <v>23</v>
      </c>
      <c r="C21" s="10">
        <f>SUM(C17:C20)</f>
        <v>0</v>
      </c>
      <c r="D21" s="10">
        <f>SUM(D17:D20)</f>
        <v>0</v>
      </c>
      <c r="E21" s="10">
        <f>SUM(E17:E20)</f>
        <v>0</v>
      </c>
      <c r="F21" s="11" t="str">
        <f>IF(N(C21)=0,"",(D21-C21)/C21)</f>
        <v/>
      </c>
      <c r="G21" s="12"/>
    </row>
    <row r="23" spans="2:7" ht="21" customHeight="1" x14ac:dyDescent="0.35">
      <c r="B23" s="21" t="s">
        <v>24</v>
      </c>
      <c r="C23" s="21"/>
      <c r="D23" s="21"/>
      <c r="E23" s="21"/>
      <c r="F23" s="21"/>
      <c r="G23" s="21"/>
    </row>
    <row r="24" spans="2:7" ht="30" customHeight="1" x14ac:dyDescent="0.35"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18</v>
      </c>
    </row>
    <row r="25" spans="2:7" ht="18.75" customHeight="1" x14ac:dyDescent="0.35">
      <c r="B25" s="4" t="s">
        <v>30</v>
      </c>
      <c r="C25" s="8"/>
      <c r="D25" s="8"/>
      <c r="E25" s="8"/>
      <c r="F25" s="8"/>
      <c r="G25" s="3"/>
    </row>
    <row r="26" spans="2:7" ht="18.75" customHeight="1" x14ac:dyDescent="0.35">
      <c r="B26" s="4" t="s">
        <v>31</v>
      </c>
      <c r="C26" s="8"/>
      <c r="D26" s="8"/>
      <c r="E26" s="8"/>
      <c r="F26" s="8"/>
      <c r="G26" s="3"/>
    </row>
    <row r="27" spans="2:7" ht="18.75" customHeight="1" x14ac:dyDescent="0.35">
      <c r="B27" s="4" t="s">
        <v>32</v>
      </c>
      <c r="C27" s="8"/>
      <c r="D27" s="8"/>
      <c r="E27" s="8"/>
      <c r="F27" s="8"/>
      <c r="G27" s="3"/>
    </row>
    <row r="28" spans="2:7" ht="18.75" customHeight="1" x14ac:dyDescent="0.35">
      <c r="B28" s="4" t="s">
        <v>33</v>
      </c>
      <c r="C28" s="8"/>
      <c r="D28" s="8"/>
      <c r="E28" s="8"/>
      <c r="F28" s="8"/>
      <c r="G28" s="3"/>
    </row>
    <row r="29" spans="2:7" ht="18.75" customHeight="1" x14ac:dyDescent="0.35">
      <c r="B29" s="4" t="s">
        <v>34</v>
      </c>
      <c r="C29" s="8"/>
      <c r="D29" s="8"/>
      <c r="E29" s="8"/>
      <c r="F29" s="8"/>
      <c r="G29" s="3"/>
    </row>
    <row r="30" spans="2:7" ht="21" customHeight="1" x14ac:dyDescent="0.35">
      <c r="B30" s="9" t="s">
        <v>35</v>
      </c>
      <c r="C30" s="10">
        <f>SUM(C25:C29)</f>
        <v>0</v>
      </c>
      <c r="D30" s="10">
        <f>SUM(D25:D29)</f>
        <v>0</v>
      </c>
      <c r="E30" s="10">
        <f>SUM(E25:E29)</f>
        <v>0</v>
      </c>
      <c r="F30" s="10">
        <f>SUM(F25:F29)</f>
        <v>0</v>
      </c>
      <c r="G30" s="12"/>
    </row>
    <row r="32" spans="2:7" ht="21" customHeight="1" x14ac:dyDescent="0.35">
      <c r="B32" s="21" t="s">
        <v>36</v>
      </c>
      <c r="C32" s="21"/>
      <c r="D32" s="21"/>
      <c r="E32" s="21"/>
      <c r="F32" s="21"/>
      <c r="G32" s="21"/>
    </row>
    <row r="33" spans="2:7" ht="30" customHeight="1" x14ac:dyDescent="0.35">
      <c r="B33" s="1" t="s">
        <v>37</v>
      </c>
      <c r="C33" s="1" t="s">
        <v>27</v>
      </c>
      <c r="D33" s="1" t="s">
        <v>38</v>
      </c>
      <c r="E33" s="1" t="s">
        <v>17</v>
      </c>
      <c r="F33" s="22" t="s">
        <v>39</v>
      </c>
      <c r="G33" s="22"/>
    </row>
    <row r="34" spans="2:7" ht="18.75" customHeight="1" x14ac:dyDescent="0.35">
      <c r="B34" s="4" t="s">
        <v>40</v>
      </c>
      <c r="C34" s="8"/>
      <c r="D34" s="8"/>
      <c r="E34" s="7" t="str">
        <f t="shared" ref="E34:E40" si="0">IF(N(C34)=0,"",(D34-C34)/C34)</f>
        <v/>
      </c>
      <c r="F34" s="23"/>
      <c r="G34" s="23"/>
    </row>
    <row r="35" spans="2:7" ht="18.75" customHeight="1" x14ac:dyDescent="0.35">
      <c r="B35" s="4" t="s">
        <v>20</v>
      </c>
      <c r="C35" s="8"/>
      <c r="D35" s="8"/>
      <c r="E35" s="7" t="str">
        <f t="shared" si="0"/>
        <v/>
      </c>
      <c r="F35" s="23"/>
      <c r="G35" s="23"/>
    </row>
    <row r="36" spans="2:7" ht="18.75" customHeight="1" x14ac:dyDescent="0.35">
      <c r="B36" s="4" t="s">
        <v>41</v>
      </c>
      <c r="C36" s="8"/>
      <c r="D36" s="8"/>
      <c r="E36" s="7" t="str">
        <f t="shared" si="0"/>
        <v/>
      </c>
      <c r="F36" s="23"/>
      <c r="G36" s="23"/>
    </row>
    <row r="37" spans="2:7" ht="18.75" customHeight="1" x14ac:dyDescent="0.35">
      <c r="B37" s="4" t="s">
        <v>42</v>
      </c>
      <c r="C37" s="8"/>
      <c r="D37" s="8"/>
      <c r="E37" s="7" t="str">
        <f t="shared" si="0"/>
        <v/>
      </c>
      <c r="F37" s="23"/>
      <c r="G37" s="23"/>
    </row>
    <row r="38" spans="2:7" ht="18.75" customHeight="1" x14ac:dyDescent="0.35">
      <c r="B38" s="4" t="s">
        <v>43</v>
      </c>
      <c r="C38" s="8"/>
      <c r="D38" s="8"/>
      <c r="E38" s="7" t="str">
        <f t="shared" si="0"/>
        <v/>
      </c>
      <c r="F38" s="23"/>
      <c r="G38" s="23"/>
    </row>
    <row r="39" spans="2:7" ht="18.75" customHeight="1" x14ac:dyDescent="0.35">
      <c r="B39" s="4" t="s">
        <v>44</v>
      </c>
      <c r="C39" s="8"/>
      <c r="D39" s="8"/>
      <c r="E39" s="7" t="str">
        <f t="shared" si="0"/>
        <v/>
      </c>
      <c r="F39" s="23"/>
      <c r="G39" s="23"/>
    </row>
    <row r="40" spans="2:7" ht="21" customHeight="1" x14ac:dyDescent="0.35">
      <c r="B40" s="9" t="s">
        <v>45</v>
      </c>
      <c r="C40" s="10">
        <f>SUM(C34:C39)</f>
        <v>0</v>
      </c>
      <c r="D40" s="10">
        <f>SUM(D34:D39)</f>
        <v>0</v>
      </c>
      <c r="E40" s="11" t="str">
        <f t="shared" si="0"/>
        <v/>
      </c>
      <c r="F40" s="12"/>
      <c r="G40" s="12"/>
    </row>
    <row r="42" spans="2:7" ht="21" customHeight="1" x14ac:dyDescent="0.35">
      <c r="B42" s="21" t="s">
        <v>46</v>
      </c>
      <c r="C42" s="21"/>
      <c r="D42" s="21"/>
      <c r="E42" s="21"/>
      <c r="F42" s="21"/>
      <c r="G42" s="21"/>
    </row>
    <row r="43" spans="2:7" ht="30" customHeight="1" x14ac:dyDescent="0.35">
      <c r="B43" s="1" t="s">
        <v>47</v>
      </c>
      <c r="C43" s="1" t="s">
        <v>48</v>
      </c>
      <c r="D43" s="1" t="s">
        <v>49</v>
      </c>
      <c r="E43" s="1" t="s">
        <v>50</v>
      </c>
      <c r="F43" s="1" t="s">
        <v>51</v>
      </c>
      <c r="G43" s="1" t="s">
        <v>18</v>
      </c>
    </row>
    <row r="44" spans="2:7" ht="21.75" customHeight="1" x14ac:dyDescent="0.35">
      <c r="B44" s="3"/>
      <c r="C44" s="13"/>
      <c r="D44" s="13"/>
      <c r="E44" s="14"/>
      <c r="F44" s="6" t="str">
        <f t="shared" ref="F44:F55" si="1">IF(N(D44)*N(E44)=0,"",D44*E44*12)</f>
        <v/>
      </c>
      <c r="G44" s="15"/>
    </row>
    <row r="45" spans="2:7" ht="18.75" customHeight="1" x14ac:dyDescent="0.35">
      <c r="B45" s="3"/>
      <c r="C45" s="16"/>
      <c r="D45" s="16"/>
      <c r="E45" s="8"/>
      <c r="F45" s="6" t="str">
        <f t="shared" si="1"/>
        <v/>
      </c>
      <c r="G45" s="3"/>
    </row>
    <row r="46" spans="2:7" ht="18.75" customHeight="1" x14ac:dyDescent="0.35">
      <c r="B46" s="3"/>
      <c r="C46" s="16"/>
      <c r="D46" s="16"/>
      <c r="E46" s="8"/>
      <c r="F46" s="6" t="str">
        <f t="shared" si="1"/>
        <v/>
      </c>
      <c r="G46" s="3"/>
    </row>
    <row r="47" spans="2:7" ht="18.75" customHeight="1" x14ac:dyDescent="0.35">
      <c r="B47" s="3"/>
      <c r="C47" s="16"/>
      <c r="D47" s="16"/>
      <c r="E47" s="8"/>
      <c r="F47" s="6" t="str">
        <f t="shared" si="1"/>
        <v/>
      </c>
      <c r="G47" s="3"/>
    </row>
    <row r="48" spans="2:7" ht="18.75" customHeight="1" x14ac:dyDescent="0.35">
      <c r="B48" s="3"/>
      <c r="C48" s="16"/>
      <c r="D48" s="16"/>
      <c r="E48" s="8"/>
      <c r="F48" s="6" t="str">
        <f t="shared" si="1"/>
        <v/>
      </c>
      <c r="G48" s="3"/>
    </row>
    <row r="49" spans="2:7" ht="18.75" customHeight="1" x14ac:dyDescent="0.35">
      <c r="B49" s="3"/>
      <c r="C49" s="16"/>
      <c r="D49" s="16"/>
      <c r="E49" s="8"/>
      <c r="F49" s="6" t="str">
        <f t="shared" si="1"/>
        <v/>
      </c>
      <c r="G49" s="3"/>
    </row>
    <row r="50" spans="2:7" ht="18.75" customHeight="1" x14ac:dyDescent="0.35">
      <c r="B50" s="3"/>
      <c r="C50" s="16"/>
      <c r="D50" s="16"/>
      <c r="E50" s="8"/>
      <c r="F50" s="6" t="str">
        <f t="shared" si="1"/>
        <v/>
      </c>
      <c r="G50" s="3"/>
    </row>
    <row r="51" spans="2:7" ht="18.75" customHeight="1" x14ac:dyDescent="0.35">
      <c r="B51" s="3"/>
      <c r="C51" s="16"/>
      <c r="D51" s="16"/>
      <c r="E51" s="8"/>
      <c r="F51" s="6" t="str">
        <f t="shared" si="1"/>
        <v/>
      </c>
      <c r="G51" s="3"/>
    </row>
    <row r="52" spans="2:7" ht="18.75" customHeight="1" x14ac:dyDescent="0.35">
      <c r="B52" s="3"/>
      <c r="C52" s="16"/>
      <c r="D52" s="16"/>
      <c r="E52" s="8"/>
      <c r="F52" s="6" t="str">
        <f t="shared" si="1"/>
        <v/>
      </c>
      <c r="G52" s="3"/>
    </row>
    <row r="53" spans="2:7" ht="18.75" customHeight="1" x14ac:dyDescent="0.35">
      <c r="B53" s="3"/>
      <c r="C53" s="16"/>
      <c r="D53" s="16"/>
      <c r="E53" s="8"/>
      <c r="F53" s="6" t="str">
        <f t="shared" si="1"/>
        <v/>
      </c>
      <c r="G53" s="3"/>
    </row>
    <row r="54" spans="2:7" ht="18.75" customHeight="1" x14ac:dyDescent="0.35">
      <c r="B54" s="3"/>
      <c r="C54" s="16"/>
      <c r="D54" s="16"/>
      <c r="E54" s="8"/>
      <c r="F54" s="6" t="str">
        <f t="shared" si="1"/>
        <v/>
      </c>
      <c r="G54" s="3"/>
    </row>
    <row r="55" spans="2:7" ht="18.75" customHeight="1" x14ac:dyDescent="0.35">
      <c r="B55" s="3"/>
      <c r="C55" s="16"/>
      <c r="D55" s="16"/>
      <c r="E55" s="8"/>
      <c r="F55" s="6" t="str">
        <f t="shared" si="1"/>
        <v/>
      </c>
      <c r="G55" s="3"/>
    </row>
    <row r="56" spans="2:7" ht="21" customHeight="1" x14ac:dyDescent="0.35">
      <c r="B56" s="9" t="s">
        <v>52</v>
      </c>
      <c r="C56" s="17">
        <f>SUM(C44:C55)</f>
        <v>0</v>
      </c>
      <c r="D56" s="17">
        <f>SUM(D44:D55)</f>
        <v>0</v>
      </c>
      <c r="E56" s="10">
        <f>SUM(E44:E55)</f>
        <v>0</v>
      </c>
      <c r="F56" s="10">
        <f>SUM(F44:F55)</f>
        <v>0</v>
      </c>
      <c r="G56" s="12"/>
    </row>
    <row r="57" spans="2:7" ht="32" customHeight="1" x14ac:dyDescent="0.35">
      <c r="B57" s="24" t="s">
        <v>96</v>
      </c>
      <c r="C57" s="24"/>
      <c r="D57" s="24"/>
      <c r="E57" s="24"/>
      <c r="F57" s="24"/>
      <c r="G57" s="24"/>
    </row>
    <row r="59" spans="2:7" ht="21" customHeight="1" x14ac:dyDescent="0.35">
      <c r="B59" s="21" t="s">
        <v>53</v>
      </c>
      <c r="C59" s="21"/>
      <c r="D59" s="21"/>
      <c r="E59" s="21"/>
      <c r="F59" s="21"/>
      <c r="G59" s="21"/>
    </row>
    <row r="60" spans="2:7" ht="30" customHeight="1" x14ac:dyDescent="0.35">
      <c r="B60" s="1" t="s">
        <v>54</v>
      </c>
      <c r="C60" s="1" t="s">
        <v>55</v>
      </c>
      <c r="D60" s="1" t="s">
        <v>56</v>
      </c>
      <c r="E60" s="1" t="s">
        <v>57</v>
      </c>
      <c r="F60" s="1" t="s">
        <v>58</v>
      </c>
      <c r="G60" s="1" t="s">
        <v>59</v>
      </c>
    </row>
    <row r="61" spans="2:7" x14ac:dyDescent="0.35">
      <c r="B61" s="3"/>
      <c r="C61" s="3"/>
      <c r="D61" s="8"/>
      <c r="E61" s="8"/>
      <c r="F61" s="3"/>
      <c r="G61" s="3"/>
    </row>
    <row r="62" spans="2:7" x14ac:dyDescent="0.35">
      <c r="B62" s="3"/>
      <c r="C62" s="3"/>
      <c r="D62" s="8"/>
      <c r="E62" s="8"/>
      <c r="F62" s="3"/>
      <c r="G62" s="3"/>
    </row>
    <row r="63" spans="2:7" x14ac:dyDescent="0.35">
      <c r="B63" s="3"/>
      <c r="C63" s="3"/>
      <c r="D63" s="8"/>
      <c r="E63" s="8"/>
      <c r="F63" s="3"/>
      <c r="G63" s="3"/>
    </row>
    <row r="64" spans="2:7" x14ac:dyDescent="0.35">
      <c r="B64" s="3"/>
      <c r="C64" s="3"/>
      <c r="D64" s="8"/>
      <c r="E64" s="8"/>
      <c r="F64" s="3"/>
      <c r="G64" s="3"/>
    </row>
    <row r="65" spans="2:7" x14ac:dyDescent="0.35">
      <c r="B65" s="3"/>
      <c r="C65" s="3"/>
      <c r="D65" s="8"/>
      <c r="E65" s="8"/>
      <c r="F65" s="3"/>
      <c r="G65" s="3"/>
    </row>
    <row r="66" spans="2:7" x14ac:dyDescent="0.35">
      <c r="B66" s="3"/>
      <c r="C66" s="3"/>
      <c r="D66" s="8"/>
      <c r="E66" s="8"/>
      <c r="F66" s="3"/>
      <c r="G66" s="3"/>
    </row>
    <row r="67" spans="2:7" x14ac:dyDescent="0.35">
      <c r="B67" s="3"/>
      <c r="C67" s="3"/>
      <c r="D67" s="8"/>
      <c r="E67" s="8"/>
      <c r="F67" s="3"/>
      <c r="G67" s="3"/>
    </row>
    <row r="68" spans="2:7" x14ac:dyDescent="0.35">
      <c r="B68" s="3"/>
      <c r="C68" s="3"/>
      <c r="D68" s="8"/>
      <c r="E68" s="8"/>
      <c r="F68" s="3"/>
      <c r="G68" s="3"/>
    </row>
    <row r="69" spans="2:7" ht="21" customHeight="1" x14ac:dyDescent="0.35">
      <c r="B69" s="9" t="s">
        <v>60</v>
      </c>
      <c r="C69" s="12"/>
      <c r="D69" s="10">
        <f>SUM(D61:D68)</f>
        <v>0</v>
      </c>
      <c r="E69" s="10">
        <f>SUM(E61:E68)</f>
        <v>0</v>
      </c>
      <c r="F69" s="12"/>
      <c r="G69" s="12"/>
    </row>
    <row r="70" spans="2:7" ht="27.75" customHeight="1" x14ac:dyDescent="0.35">
      <c r="B70" s="25" t="s">
        <v>61</v>
      </c>
      <c r="C70" s="25"/>
      <c r="D70" s="25"/>
      <c r="E70" s="25"/>
      <c r="F70" s="25"/>
      <c r="G70" s="25"/>
    </row>
    <row r="71" spans="2:7" ht="27.75" customHeight="1" x14ac:dyDescent="0.35">
      <c r="B71" s="25"/>
      <c r="C71" s="25"/>
      <c r="D71" s="25"/>
      <c r="E71" s="25"/>
      <c r="F71" s="25"/>
      <c r="G71" s="25"/>
    </row>
    <row r="73" spans="2:7" ht="21" customHeight="1" x14ac:dyDescent="0.35">
      <c r="B73" s="21" t="s">
        <v>62</v>
      </c>
      <c r="C73" s="21"/>
      <c r="D73" s="21"/>
      <c r="E73" s="21"/>
      <c r="F73" s="21"/>
      <c r="G73" s="21"/>
    </row>
    <row r="74" spans="2:7" ht="30" customHeight="1" x14ac:dyDescent="0.35">
      <c r="B74" s="1" t="s">
        <v>63</v>
      </c>
      <c r="C74" s="1" t="s">
        <v>64</v>
      </c>
      <c r="D74" s="1" t="s">
        <v>65</v>
      </c>
      <c r="E74" s="1" t="s">
        <v>66</v>
      </c>
      <c r="F74" s="1" t="s">
        <v>67</v>
      </c>
      <c r="G74" s="1" t="s">
        <v>18</v>
      </c>
    </row>
    <row r="75" spans="2:7" x14ac:dyDescent="0.35">
      <c r="B75" s="3"/>
      <c r="C75" s="8"/>
      <c r="D75" s="3"/>
      <c r="E75" s="3"/>
      <c r="F75" s="3"/>
      <c r="G75" s="3"/>
    </row>
    <row r="76" spans="2:7" x14ac:dyDescent="0.35">
      <c r="B76" s="3"/>
      <c r="C76" s="8"/>
      <c r="D76" s="3"/>
      <c r="E76" s="3"/>
      <c r="F76" s="3"/>
      <c r="G76" s="3"/>
    </row>
    <row r="77" spans="2:7" x14ac:dyDescent="0.35">
      <c r="B77" s="3"/>
      <c r="C77" s="8"/>
      <c r="D77" s="3"/>
      <c r="E77" s="3"/>
      <c r="F77" s="3"/>
      <c r="G77" s="3"/>
    </row>
    <row r="78" spans="2:7" x14ac:dyDescent="0.35">
      <c r="B78" s="3"/>
      <c r="C78" s="8"/>
      <c r="D78" s="3"/>
      <c r="E78" s="3"/>
      <c r="F78" s="3"/>
      <c r="G78" s="3"/>
    </row>
    <row r="79" spans="2:7" x14ac:dyDescent="0.35">
      <c r="B79" s="3"/>
      <c r="C79" s="8"/>
      <c r="D79" s="3"/>
      <c r="E79" s="3"/>
      <c r="F79" s="3"/>
      <c r="G79" s="3"/>
    </row>
    <row r="80" spans="2:7" x14ac:dyDescent="0.35">
      <c r="B80" s="3"/>
      <c r="C80" s="8"/>
      <c r="D80" s="3"/>
      <c r="E80" s="3"/>
      <c r="F80" s="3"/>
      <c r="G80" s="3"/>
    </row>
    <row r="81" spans="2:7" x14ac:dyDescent="0.35">
      <c r="B81" s="3"/>
      <c r="C81" s="8"/>
      <c r="D81" s="3"/>
      <c r="E81" s="3"/>
      <c r="F81" s="3"/>
      <c r="G81" s="3"/>
    </row>
    <row r="82" spans="2:7" x14ac:dyDescent="0.35">
      <c r="B82" s="3"/>
      <c r="C82" s="8"/>
      <c r="D82" s="3"/>
      <c r="E82" s="3"/>
      <c r="F82" s="3"/>
      <c r="G82" s="3"/>
    </row>
    <row r="83" spans="2:7" x14ac:dyDescent="0.35">
      <c r="B83" s="3"/>
      <c r="C83" s="8"/>
      <c r="D83" s="3"/>
      <c r="E83" s="3"/>
      <c r="F83" s="3"/>
      <c r="G83" s="3"/>
    </row>
    <row r="84" spans="2:7" x14ac:dyDescent="0.35">
      <c r="B84" s="3"/>
      <c r="C84" s="8"/>
      <c r="D84" s="3"/>
      <c r="E84" s="3"/>
      <c r="F84" s="3"/>
      <c r="G84" s="3"/>
    </row>
    <row r="85" spans="2:7" ht="21" customHeight="1" x14ac:dyDescent="0.35">
      <c r="B85" s="9" t="s">
        <v>68</v>
      </c>
      <c r="C85" s="10">
        <f>SUM(C75:C84)</f>
        <v>0</v>
      </c>
      <c r="D85" s="12"/>
      <c r="E85" s="12"/>
      <c r="F85" s="12"/>
      <c r="G85" s="12"/>
    </row>
    <row r="87" spans="2:7" ht="21" customHeight="1" x14ac:dyDescent="0.35">
      <c r="B87" s="21" t="s">
        <v>69</v>
      </c>
      <c r="C87" s="21"/>
      <c r="D87" s="21"/>
      <c r="E87" s="21"/>
      <c r="F87" s="21"/>
      <c r="G87" s="21"/>
    </row>
    <row r="88" spans="2:7" ht="30" customHeight="1" x14ac:dyDescent="0.35">
      <c r="B88" s="1" t="s">
        <v>66</v>
      </c>
      <c r="C88" s="1" t="s">
        <v>70</v>
      </c>
      <c r="D88" s="1" t="s">
        <v>71</v>
      </c>
      <c r="E88" s="22" t="s">
        <v>18</v>
      </c>
      <c r="F88" s="22"/>
      <c r="G88" s="22"/>
    </row>
    <row r="89" spans="2:7" ht="18.75" customHeight="1" x14ac:dyDescent="0.35">
      <c r="B89" s="4" t="s">
        <v>72</v>
      </c>
      <c r="C89" s="8"/>
      <c r="D89" s="7" t="str">
        <f>IF(N($C$93)=0,"",C89/$C$93)</f>
        <v/>
      </c>
      <c r="E89" s="23"/>
      <c r="F89" s="23"/>
      <c r="G89" s="23"/>
    </row>
    <row r="90" spans="2:7" ht="18.75" customHeight="1" x14ac:dyDescent="0.35">
      <c r="B90" s="4" t="s">
        <v>73</v>
      </c>
      <c r="C90" s="8"/>
      <c r="D90" s="7" t="str">
        <f>IF(N($C$93)=0,"",C90/$C$93)</f>
        <v/>
      </c>
      <c r="E90" s="23"/>
      <c r="F90" s="23"/>
      <c r="G90" s="23"/>
    </row>
    <row r="91" spans="2:7" ht="18.75" customHeight="1" x14ac:dyDescent="0.35">
      <c r="B91" s="4" t="s">
        <v>74</v>
      </c>
      <c r="C91" s="8"/>
      <c r="D91" s="7" t="str">
        <f>IF(N($C$93)=0,"",C91/$C$93)</f>
        <v/>
      </c>
      <c r="E91" s="23"/>
      <c r="F91" s="23"/>
      <c r="G91" s="23"/>
    </row>
    <row r="92" spans="2:7" ht="18.75" customHeight="1" x14ac:dyDescent="0.35">
      <c r="B92" s="4" t="s">
        <v>75</v>
      </c>
      <c r="C92" s="8"/>
      <c r="D92" s="7" t="str">
        <f>IF(N($C$93)=0,"",C92/$C$93)</f>
        <v/>
      </c>
      <c r="E92" s="23"/>
      <c r="F92" s="23"/>
      <c r="G92" s="23"/>
    </row>
    <row r="93" spans="2:7" ht="21" customHeight="1" x14ac:dyDescent="0.35">
      <c r="B93" s="9" t="s">
        <v>76</v>
      </c>
      <c r="C93" s="10">
        <f>SUM(C89:C92)</f>
        <v>0</v>
      </c>
      <c r="D93" s="11" t="str">
        <f>IF(N(C93)=0,"",1)</f>
        <v/>
      </c>
      <c r="E93" s="12"/>
      <c r="F93" s="12"/>
      <c r="G93" s="12"/>
    </row>
    <row r="95" spans="2:7" ht="21" customHeight="1" x14ac:dyDescent="0.35">
      <c r="B95" s="21" t="s">
        <v>77</v>
      </c>
      <c r="C95" s="21"/>
      <c r="D95" s="21"/>
      <c r="E95" s="21"/>
      <c r="F95" s="21"/>
      <c r="G95" s="21"/>
    </row>
    <row r="96" spans="2:7" ht="30" customHeight="1" x14ac:dyDescent="0.35">
      <c r="B96" s="1" t="s">
        <v>78</v>
      </c>
      <c r="C96" s="1" t="s">
        <v>79</v>
      </c>
      <c r="D96" s="1" t="s">
        <v>80</v>
      </c>
      <c r="E96" s="1" t="s">
        <v>81</v>
      </c>
      <c r="F96" s="22" t="s">
        <v>82</v>
      </c>
      <c r="G96" s="22"/>
    </row>
    <row r="97" spans="2:7" ht="18.75" customHeight="1" x14ac:dyDescent="0.35">
      <c r="B97" s="18" t="s">
        <v>83</v>
      </c>
      <c r="C97" s="6">
        <f>D34</f>
        <v>0</v>
      </c>
      <c r="D97" s="6">
        <f>F56</f>
        <v>0</v>
      </c>
      <c r="E97" s="6">
        <f>C97-D97</f>
        <v>0</v>
      </c>
      <c r="F97" s="26" t="str">
        <f>IF(ABS(E97)&lt;1,"WAAFAQSAN","KALA DUWAN - dib u eeg")</f>
        <v>WAAFAQSAN</v>
      </c>
      <c r="G97" s="26"/>
    </row>
    <row r="98" spans="2:7" ht="18.75" customHeight="1" x14ac:dyDescent="0.35">
      <c r="B98" s="18" t="s">
        <v>84</v>
      </c>
      <c r="C98" s="6">
        <f>D21</f>
        <v>0</v>
      </c>
      <c r="D98" s="6">
        <f>D40+E69</f>
        <v>0</v>
      </c>
      <c r="E98" s="6">
        <f>C98-D98</f>
        <v>0</v>
      </c>
      <c r="F98" s="26" t="str">
        <f>IF(ABS(E98)&lt;1,"WAAFAQSAN","KALA DUWAN - dib u eeg")</f>
        <v>WAAFAQSAN</v>
      </c>
      <c r="G98" s="26"/>
    </row>
    <row r="99" spans="2:7" ht="18.75" customHeight="1" x14ac:dyDescent="0.35">
      <c r="B99" s="18" t="s">
        <v>85</v>
      </c>
      <c r="C99" s="6">
        <f>C93</f>
        <v>0</v>
      </c>
      <c r="D99" s="6">
        <f>D21</f>
        <v>0</v>
      </c>
      <c r="E99" s="6">
        <f>C99-D99</f>
        <v>0</v>
      </c>
      <c r="F99" s="26" t="str">
        <f>IF(ABS(E99)&lt;1,"WAAFAQSAN","KALA DUWAN - dib u eeg")</f>
        <v>WAAFAQSAN</v>
      </c>
      <c r="G99" s="26"/>
    </row>
    <row r="100" spans="2:7" ht="18.75" customHeight="1" x14ac:dyDescent="0.35">
      <c r="B100" s="18" t="s">
        <v>86</v>
      </c>
      <c r="C100" s="6">
        <f>C85</f>
        <v>0</v>
      </c>
      <c r="D100" s="6">
        <f>D35+D36+E69</f>
        <v>0</v>
      </c>
      <c r="E100" s="6">
        <f>C100-D100</f>
        <v>0</v>
      </c>
      <c r="F100" s="26" t="str">
        <f>IF(C100&lt;=D100,"WAAFAQSAN","KA BADAN XADKA - dib u eeg")</f>
        <v>WAAFAQSAN</v>
      </c>
      <c r="G100" s="26"/>
    </row>
    <row r="101" spans="2:7" ht="18.75" customHeight="1" x14ac:dyDescent="0.35">
      <c r="B101" s="18" t="s">
        <v>87</v>
      </c>
      <c r="C101" s="6">
        <f>F30</f>
        <v>0</v>
      </c>
      <c r="D101" s="6">
        <f>D21</f>
        <v>0</v>
      </c>
      <c r="E101" s="6">
        <f>C101-D101</f>
        <v>0</v>
      </c>
      <c r="F101" s="26" t="str">
        <f>IF(ABS(E101)&lt;1,"WAAFAQSAN","KALA DUWAN - dib u eeg")</f>
        <v>WAAFAQSAN</v>
      </c>
      <c r="G101" s="26"/>
    </row>
    <row r="102" spans="2:7" ht="18" customHeight="1" x14ac:dyDescent="0.35">
      <c r="B102" s="27" t="s">
        <v>88</v>
      </c>
      <c r="C102" s="27"/>
      <c r="D102" s="27"/>
      <c r="E102" s="27"/>
      <c r="F102" s="27"/>
      <c r="G102" s="27"/>
    </row>
    <row r="104" spans="2:7" ht="21" customHeight="1" x14ac:dyDescent="0.35">
      <c r="B104" s="21" t="s">
        <v>89</v>
      </c>
      <c r="C104" s="21"/>
      <c r="D104" s="21"/>
      <c r="E104" s="21"/>
      <c r="F104" s="21"/>
      <c r="G104" s="21"/>
    </row>
    <row r="105" spans="2:7" ht="30" customHeight="1" x14ac:dyDescent="0.35">
      <c r="B105" s="28" t="s">
        <v>90</v>
      </c>
      <c r="C105" s="28"/>
      <c r="D105" s="28"/>
      <c r="E105" s="28"/>
      <c r="F105" s="28"/>
      <c r="G105" s="28"/>
    </row>
    <row r="106" spans="2:7" ht="18.75" customHeight="1" x14ac:dyDescent="0.35">
      <c r="B106" s="2" t="s">
        <v>5</v>
      </c>
      <c r="C106" s="29" t="str">
        <f>IF(C7="","",C7)</f>
        <v/>
      </c>
      <c r="D106" s="29"/>
      <c r="E106" s="29"/>
      <c r="F106" s="29"/>
      <c r="G106" s="29"/>
    </row>
    <row r="107" spans="2:7" ht="18.75" customHeight="1" x14ac:dyDescent="0.35">
      <c r="B107" s="2" t="s">
        <v>91</v>
      </c>
      <c r="C107" s="23"/>
      <c r="D107" s="23"/>
      <c r="E107" s="23"/>
      <c r="F107" s="23"/>
      <c r="G107" s="23"/>
    </row>
    <row r="108" spans="2:7" ht="18.75" customHeight="1" x14ac:dyDescent="0.35">
      <c r="B108" s="2" t="s">
        <v>92</v>
      </c>
      <c r="C108" s="23"/>
      <c r="D108" s="23"/>
      <c r="E108" s="23"/>
      <c r="F108" s="23"/>
      <c r="G108" s="23"/>
    </row>
    <row r="109" spans="2:7" ht="18.75" customHeight="1" x14ac:dyDescent="0.35">
      <c r="B109" s="2" t="s">
        <v>93</v>
      </c>
      <c r="C109" s="23"/>
      <c r="D109" s="23"/>
      <c r="E109" s="23"/>
      <c r="F109" s="23"/>
      <c r="G109" s="23"/>
    </row>
    <row r="110" spans="2:7" ht="18.75" customHeight="1" x14ac:dyDescent="0.35">
      <c r="B110" s="2" t="s">
        <v>92</v>
      </c>
      <c r="C110" s="23"/>
      <c r="D110" s="23"/>
      <c r="E110" s="23"/>
      <c r="F110" s="23"/>
      <c r="G110" s="23"/>
    </row>
    <row r="111" spans="2:7" ht="18.75" customHeight="1" x14ac:dyDescent="0.35">
      <c r="B111" s="2" t="s">
        <v>94</v>
      </c>
      <c r="C111" s="23"/>
      <c r="D111" s="23"/>
      <c r="E111" s="23"/>
      <c r="F111" s="23"/>
      <c r="G111" s="23"/>
    </row>
    <row r="112" spans="2:7" ht="18.75" customHeight="1" x14ac:dyDescent="0.35">
      <c r="B112" s="2" t="s">
        <v>92</v>
      </c>
      <c r="C112" s="23"/>
      <c r="D112" s="23"/>
      <c r="E112" s="23"/>
      <c r="F112" s="23"/>
      <c r="G112" s="23"/>
    </row>
    <row r="113" spans="2:7" ht="45.75" customHeight="1" x14ac:dyDescent="0.35">
      <c r="B113" s="2" t="s">
        <v>95</v>
      </c>
      <c r="C113" s="23"/>
      <c r="D113" s="23"/>
      <c r="E113" s="23"/>
      <c r="F113" s="23"/>
      <c r="G113" s="23"/>
    </row>
  </sheetData>
  <mergeCells count="50">
    <mergeCell ref="B104:G104"/>
    <mergeCell ref="B105:G105"/>
    <mergeCell ref="C106:G106"/>
    <mergeCell ref="C107:G107"/>
    <mergeCell ref="C113:G113"/>
    <mergeCell ref="C108:G108"/>
    <mergeCell ref="C109:G109"/>
    <mergeCell ref="C110:G110"/>
    <mergeCell ref="C111:G111"/>
    <mergeCell ref="C112:G112"/>
    <mergeCell ref="F98:G98"/>
    <mergeCell ref="F99:G99"/>
    <mergeCell ref="F100:G100"/>
    <mergeCell ref="F101:G101"/>
    <mergeCell ref="B102:G102"/>
    <mergeCell ref="E91:G91"/>
    <mergeCell ref="E92:G92"/>
    <mergeCell ref="B95:G95"/>
    <mergeCell ref="F96:G96"/>
    <mergeCell ref="F97:G97"/>
    <mergeCell ref="B73:G73"/>
    <mergeCell ref="B87:G87"/>
    <mergeCell ref="E88:G88"/>
    <mergeCell ref="E89:G89"/>
    <mergeCell ref="E90:G90"/>
    <mergeCell ref="F39:G39"/>
    <mergeCell ref="B42:G42"/>
    <mergeCell ref="B57:G57"/>
    <mergeCell ref="B59:G59"/>
    <mergeCell ref="B70:G71"/>
    <mergeCell ref="F34:G34"/>
    <mergeCell ref="F35:G35"/>
    <mergeCell ref="F36:G36"/>
    <mergeCell ref="F37:G37"/>
    <mergeCell ref="F38:G38"/>
    <mergeCell ref="C13:G13"/>
    <mergeCell ref="B15:G15"/>
    <mergeCell ref="B23:G23"/>
    <mergeCell ref="B32:G32"/>
    <mergeCell ref="F33:G33"/>
    <mergeCell ref="C8:G8"/>
    <mergeCell ref="C9:G9"/>
    <mergeCell ref="C10:G10"/>
    <mergeCell ref="C11:G11"/>
    <mergeCell ref="C12:G12"/>
    <mergeCell ref="B2:G2"/>
    <mergeCell ref="B3:G3"/>
    <mergeCell ref="B5:G5"/>
    <mergeCell ref="C6:G6"/>
    <mergeCell ref="C7:G7"/>
  </mergeCells>
  <conditionalFormatting sqref="E34:E40">
    <cfRule type="cellIs" dxfId="5" priority="6" operator="greaterThan">
      <formula>0.1</formula>
    </cfRule>
    <cfRule type="cellIs" dxfId="4" priority="7" operator="lessThan">
      <formula>-0.1</formula>
    </cfRule>
  </conditionalFormatting>
  <conditionalFormatting sqref="F17:F21">
    <cfRule type="cellIs" dxfId="3" priority="4" operator="greaterThan">
      <formula>0.1</formula>
    </cfRule>
    <cfRule type="cellIs" dxfId="2" priority="5" operator="lessThan">
      <formula>-0.1</formula>
    </cfRule>
  </conditionalFormatting>
  <conditionalFormatting sqref="F97:G101">
    <cfRule type="expression" dxfId="1" priority="2">
      <formula>$F97="WAAFAQSAN"</formula>
    </cfRule>
    <cfRule type="expression" dxfId="0" priority="3">
      <formula>AND($F97&lt;&gt;"",$F97&lt;&gt;"WAAFAQSAN")</formula>
    </cfRule>
  </conditionalFormatting>
  <dataValidations count="4">
    <dataValidation type="list" allowBlank="1" sqref="D75:D84">
      <formula1>"Tartan Furan (NCB),Tartan Xaddidan,Wareysi Qiimo (RFQ),Iibsi Toos ah,Adeeg Khibrad (Consultancy)"</formula1>
      <formula2>0</formula2>
    </dataValidation>
    <dataValidation type="list" allowBlank="1" sqref="E75:E84">
      <formula1>"Saddex-biloodka 1aad,Saddex-biloodka 2aad,Saddex-biloodka 3aad,Saddex-biloodka 4aad"</formula1>
      <formula2>0</formula2>
    </dataValidation>
    <dataValidation type="list" allowBlank="1" sqref="F61:F68">
      <formula1>"Miisaaniyadda Dowladda,Deeq Bixiyeyaal,Amaah,Dakhli Gaar ah,Iskaashi Guud (PPP)"</formula1>
      <formula2>0</formula2>
    </dataValidation>
    <dataValidation type="decimal" operator="greaterThanOrEqual" allowBlank="1" errorTitle="Qiime aan sax ahayn" error="Fadlan geli tiro (0 ama ka badan) — ha ku darin calaamadaha lacagta." sqref="C25:F29 C89:C92 C44:E55 D61:E68 C75:C84 C34:D39">
      <formula1>0</formula1>
      <formula2>0</formula2>
    </dataValidation>
  </dataValidations>
  <printOptions horizontalCentered="1"/>
  <pageMargins left="0.4" right="0.4" top="0.5" bottom="0.5" header="0.511811023622047" footer="0.5"/>
  <pageSetup paperSize="9" scale="71" fitToHeight="0" orientation="portrait" horizontalDpi="300" verticalDpi="300" r:id="rId1"/>
  <headerFooter>
    <oddFooter>&amp;C&amp;"Arial,Regular"&amp;8 Foomamka Miisaaniyadda 2027 — Bogga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Foomka Miisaaniyadda 2027</vt:lpstr>
      <vt:lpstr>'Foomka Miisaaniyadda 2027'!Print_Area</vt:lpstr>
      <vt:lpstr>'Foomka Miisaaniyadda 2027'!Print_Titles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Shiine Ali</cp:lastModifiedBy>
  <cp:revision>0</cp:revision>
  <cp:lastPrinted>2026-09-20T13:46:35Z</cp:lastPrinted>
  <dcterms:created xsi:type="dcterms:W3CDTF">2026-09-20T13:33:48Z</dcterms:created>
  <dcterms:modified xsi:type="dcterms:W3CDTF">2026-09-28T06:39:45Z</dcterms:modified>
  <dc:language>en-US</dc:language>
</cp:coreProperties>
</file>