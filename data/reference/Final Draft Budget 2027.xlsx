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dan\Desktop\"/>
    </mc:Choice>
  </mc:AlternateContent>
  <bookViews>
    <workbookView xWindow="0" yWindow="0" windowWidth="21943" windowHeight="8511" tabRatio="998" activeTab="3"/>
  </bookViews>
  <sheets>
    <sheet name="Shaxda 1.1 " sheetId="55" r:id="rId1"/>
    <sheet name="Shaxda 1.2" sheetId="36" r:id="rId2"/>
    <sheet name="Shaxda 2.1" sheetId="56" r:id="rId3"/>
    <sheet name="10101" sheetId="1" r:id="rId4"/>
  </sheets>
  <definedNames>
    <definedName name="_xlnm._FilterDatabase" localSheetId="3" hidden="1">'10101'!$A$3:$F$74</definedName>
    <definedName name="_xlnm._FilterDatabase" localSheetId="0" hidden="1">'Shaxda 1.1 '!$A$7:$F$167</definedName>
    <definedName name="_xlnm._FilterDatabase" localSheetId="1" hidden="1">'Shaxda 1.2'!$A$5:$G$195</definedName>
    <definedName name="_xlnm.Print_Area" localSheetId="3">'10101'!$A$1:$E$50</definedName>
    <definedName name="_xlnm.Print_Area" localSheetId="0">'Shaxda 1.1 '!$A$1:$D$187</definedName>
    <definedName name="_xlnm.Print_Area" localSheetId="1">'Shaxda 1.2'!$A$1:$E$201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36" l="1"/>
  <c r="F29" i="36"/>
  <c r="G29" i="36" a="1"/>
  <c r="G29" i="36" l="1"/>
  <c r="D594" i="1"/>
  <c r="F570" i="1"/>
  <c r="F567" i="1"/>
  <c r="E567" i="1"/>
  <c r="D567" i="1"/>
  <c r="E1382" i="1" l="1"/>
  <c r="D1379" i="1"/>
  <c r="D1382" i="1"/>
  <c r="F1383" i="1"/>
  <c r="F1384" i="1"/>
  <c r="F1321" i="1"/>
  <c r="F1323" i="1"/>
  <c r="F1322" i="1"/>
  <c r="D1321" i="1"/>
  <c r="D1317" i="1"/>
  <c r="E1321" i="1"/>
  <c r="F1345" i="1"/>
  <c r="E1343" i="1"/>
  <c r="F1343" i="1" s="1"/>
  <c r="F1286" i="1"/>
  <c r="F610" i="1"/>
  <c r="E609" i="1"/>
  <c r="F609" i="1" s="1"/>
  <c r="D609" i="1"/>
  <c r="F661" i="1"/>
  <c r="E660" i="1"/>
  <c r="F660" i="1" s="1"/>
  <c r="D660" i="1"/>
  <c r="F1382" i="1" l="1"/>
  <c r="D159" i="1" l="1"/>
  <c r="F160" i="1"/>
  <c r="E159" i="1"/>
  <c r="F159" i="1" s="1"/>
  <c r="F60" i="1" l="1"/>
  <c r="F59" i="1"/>
  <c r="F58" i="1"/>
  <c r="E57" i="1"/>
  <c r="D57" i="1"/>
  <c r="E51" i="1"/>
  <c r="D51" i="1"/>
  <c r="E47" i="1"/>
  <c r="D47" i="1"/>
  <c r="E43" i="1"/>
  <c r="D43" i="1"/>
  <c r="E38" i="1"/>
  <c r="D38" i="1"/>
  <c r="D33" i="1"/>
  <c r="E33" i="1"/>
  <c r="D20" i="1"/>
  <c r="E20" i="1"/>
  <c r="F20" i="1" s="1"/>
  <c r="E16" i="1"/>
  <c r="F16" i="1" s="1"/>
  <c r="D16" i="1"/>
  <c r="E12" i="1"/>
  <c r="F12" i="1" s="1"/>
  <c r="D12" i="1"/>
  <c r="E9" i="1"/>
  <c r="F9" i="1" s="1"/>
  <c r="D9" i="1"/>
  <c r="D8" i="1" l="1"/>
  <c r="E8" i="1"/>
  <c r="E7" i="1" s="1"/>
  <c r="F522" i="1"/>
  <c r="F518" i="1"/>
  <c r="F647" i="1"/>
  <c r="F646" i="1"/>
  <c r="E645" i="1"/>
  <c r="F645" i="1" s="1"/>
  <c r="D645" i="1"/>
  <c r="E648" i="1"/>
  <c r="F648" i="1" s="1"/>
  <c r="E747" i="1"/>
  <c r="F747" i="1" s="1"/>
  <c r="D747" i="1"/>
  <c r="F748" i="1"/>
  <c r="F749" i="1"/>
  <c r="F691" i="1"/>
  <c r="F692" i="1"/>
  <c r="F693" i="1"/>
  <c r="F690" i="1"/>
  <c r="E689" i="1"/>
  <c r="F689" i="1" s="1"/>
  <c r="D689" i="1"/>
  <c r="C594" i="1"/>
  <c r="D597" i="1"/>
  <c r="E597" i="1"/>
  <c r="F8" i="1" l="1"/>
  <c r="F271" i="1"/>
  <c r="F270" i="1"/>
  <c r="F1228" i="1" l="1"/>
  <c r="F1227" i="1"/>
  <c r="F1226" i="1"/>
  <c r="E1225" i="1"/>
  <c r="F1225" i="1" s="1"/>
  <c r="D1225" i="1"/>
  <c r="F1224" i="1"/>
  <c r="E1223" i="1"/>
  <c r="F1223" i="1" s="1"/>
  <c r="D1223" i="1"/>
  <c r="D1222" i="1" s="1"/>
  <c r="D1221" i="1" s="1"/>
  <c r="C1222" i="1"/>
  <c r="C1221" i="1" s="1"/>
  <c r="F1390" i="1"/>
  <c r="E1389" i="1"/>
  <c r="F1389" i="1" s="1"/>
  <c r="D1389" i="1"/>
  <c r="F1331" i="1"/>
  <c r="E1330" i="1"/>
  <c r="D1330" i="1"/>
  <c r="E1284" i="1"/>
  <c r="D1284" i="1"/>
  <c r="D1343" i="1"/>
  <c r="F1330" i="1" l="1"/>
  <c r="E1222" i="1"/>
  <c r="F1222" i="1" l="1"/>
  <c r="E1221" i="1"/>
  <c r="F1221" i="1" s="1"/>
  <c r="F1049" i="1" l="1"/>
  <c r="F1200" i="1"/>
  <c r="F1494" i="1"/>
  <c r="F1495" i="1"/>
  <c r="F1497" i="1"/>
  <c r="F1498" i="1"/>
  <c r="F1499" i="1"/>
  <c r="F1501" i="1"/>
  <c r="F1505" i="1"/>
  <c r="F1506" i="1"/>
  <c r="F1507" i="1"/>
  <c r="F1509" i="1"/>
  <c r="F1510" i="1"/>
  <c r="F1512" i="1"/>
  <c r="F1513" i="1"/>
  <c r="F1515" i="1"/>
  <c r="F1516" i="1"/>
  <c r="F1518" i="1"/>
  <c r="F1519" i="1"/>
  <c r="F1520" i="1"/>
  <c r="F1521" i="1"/>
  <c r="F1523" i="1"/>
  <c r="F1524" i="1"/>
  <c r="F1525" i="1"/>
  <c r="F1526" i="1"/>
  <c r="F1528" i="1"/>
  <c r="F1529" i="1"/>
  <c r="F1530" i="1"/>
  <c r="F1532" i="1"/>
  <c r="F1533" i="1"/>
  <c r="F1535" i="1"/>
  <c r="F1447" i="1"/>
  <c r="F1448" i="1"/>
  <c r="F1450" i="1"/>
  <c r="F1451" i="1"/>
  <c r="F1452" i="1"/>
  <c r="F1454" i="1"/>
  <c r="F1458" i="1"/>
  <c r="F1459" i="1"/>
  <c r="F1460" i="1"/>
  <c r="F1462" i="1"/>
  <c r="F1463" i="1"/>
  <c r="F1465" i="1"/>
  <c r="F1466" i="1"/>
  <c r="F1468" i="1"/>
  <c r="F1469" i="1"/>
  <c r="F1471" i="1"/>
  <c r="F1472" i="1"/>
  <c r="F1473" i="1"/>
  <c r="F1474" i="1"/>
  <c r="F1476" i="1"/>
  <c r="F1477" i="1"/>
  <c r="F1478" i="1"/>
  <c r="F1479" i="1"/>
  <c r="F1481" i="1"/>
  <c r="F1482" i="1"/>
  <c r="F1483" i="1"/>
  <c r="F1485" i="1"/>
  <c r="F1486" i="1"/>
  <c r="F1488" i="1"/>
  <c r="F1400" i="1"/>
  <c r="F1401" i="1"/>
  <c r="F1403" i="1"/>
  <c r="F1404" i="1"/>
  <c r="F1405" i="1"/>
  <c r="F1407" i="1"/>
  <c r="F1411" i="1"/>
  <c r="F1412" i="1"/>
  <c r="F1413" i="1"/>
  <c r="F1415" i="1"/>
  <c r="F1416" i="1"/>
  <c r="F1418" i="1"/>
  <c r="F1419" i="1"/>
  <c r="F1421" i="1"/>
  <c r="F1422" i="1"/>
  <c r="F1424" i="1"/>
  <c r="F1425" i="1"/>
  <c r="F1426" i="1"/>
  <c r="F1427" i="1"/>
  <c r="F1429" i="1"/>
  <c r="F1430" i="1"/>
  <c r="F1431" i="1"/>
  <c r="F1432" i="1"/>
  <c r="F1434" i="1"/>
  <c r="F1435" i="1"/>
  <c r="F1436" i="1"/>
  <c r="F1438" i="1"/>
  <c r="F1439" i="1"/>
  <c r="F1441" i="1"/>
  <c r="F1341" i="1"/>
  <c r="F1342" i="1"/>
  <c r="F1344" i="1"/>
  <c r="F1346" i="1"/>
  <c r="F1347" i="1"/>
  <c r="F1349" i="1"/>
  <c r="F1350" i="1"/>
  <c r="F1353" i="1"/>
  <c r="F1354" i="1"/>
  <c r="F1355" i="1"/>
  <c r="F1357" i="1"/>
  <c r="F1358" i="1"/>
  <c r="F1360" i="1"/>
  <c r="F1361" i="1"/>
  <c r="F1363" i="1"/>
  <c r="F1364" i="1"/>
  <c r="F1366" i="1"/>
  <c r="F1367" i="1"/>
  <c r="F1368" i="1"/>
  <c r="F1369" i="1"/>
  <c r="F1371" i="1"/>
  <c r="F1372" i="1"/>
  <c r="F1373" i="1"/>
  <c r="F1374" i="1"/>
  <c r="F1376" i="1"/>
  <c r="F1377" i="1"/>
  <c r="F1378" i="1"/>
  <c r="F1380" i="1"/>
  <c r="F1381" i="1"/>
  <c r="F1386" i="1"/>
  <c r="F1392" i="1"/>
  <c r="F1393" i="1"/>
  <c r="F1394" i="1"/>
  <c r="F1281" i="1"/>
  <c r="F1282" i="1"/>
  <c r="F1283" i="1"/>
  <c r="F1284" i="1"/>
  <c r="F1285" i="1"/>
  <c r="F1287" i="1"/>
  <c r="F1288" i="1"/>
  <c r="F1290" i="1"/>
  <c r="F1294" i="1"/>
  <c r="F1295" i="1"/>
  <c r="F1296" i="1"/>
  <c r="F1298" i="1"/>
  <c r="F1299" i="1"/>
  <c r="F1301" i="1"/>
  <c r="F1302" i="1"/>
  <c r="F1304" i="1"/>
  <c r="F1305" i="1"/>
  <c r="F1307" i="1"/>
  <c r="F1308" i="1"/>
  <c r="F1309" i="1"/>
  <c r="F1310" i="1"/>
  <c r="F1311" i="1"/>
  <c r="F1313" i="1"/>
  <c r="F1314" i="1"/>
  <c r="F1315" i="1"/>
  <c r="F1316" i="1"/>
  <c r="F1318" i="1"/>
  <c r="F1319" i="1"/>
  <c r="F1320" i="1"/>
  <c r="F1325" i="1"/>
  <c r="F1327" i="1"/>
  <c r="F1333" i="1"/>
  <c r="F1334" i="1"/>
  <c r="F1335" i="1"/>
  <c r="F1234" i="1"/>
  <c r="F1235" i="1"/>
  <c r="F1237" i="1"/>
  <c r="F1238" i="1"/>
  <c r="F1239" i="1"/>
  <c r="F1241" i="1"/>
  <c r="F1245" i="1"/>
  <c r="F1246" i="1"/>
  <c r="F1247" i="1"/>
  <c r="F1249" i="1"/>
  <c r="F1250" i="1"/>
  <c r="F1252" i="1"/>
  <c r="F1253" i="1"/>
  <c r="F1255" i="1"/>
  <c r="F1256" i="1"/>
  <c r="F1258" i="1"/>
  <c r="F1259" i="1"/>
  <c r="F1260" i="1"/>
  <c r="F1261" i="1"/>
  <c r="F1263" i="1"/>
  <c r="F1264" i="1"/>
  <c r="F1265" i="1"/>
  <c r="F1266" i="1"/>
  <c r="F1268" i="1"/>
  <c r="F1269" i="1"/>
  <c r="F1270" i="1"/>
  <c r="F1272" i="1"/>
  <c r="F1273" i="1"/>
  <c r="F1275" i="1"/>
  <c r="F1179" i="1"/>
  <c r="F1180" i="1"/>
  <c r="F1182" i="1"/>
  <c r="F1183" i="1"/>
  <c r="F1184" i="1"/>
  <c r="F1186" i="1"/>
  <c r="F1190" i="1"/>
  <c r="F1191" i="1"/>
  <c r="F1192" i="1"/>
  <c r="F1194" i="1"/>
  <c r="F1195" i="1"/>
  <c r="F1197" i="1"/>
  <c r="F1198" i="1"/>
  <c r="F1201" i="1"/>
  <c r="F1203" i="1"/>
  <c r="F1204" i="1"/>
  <c r="F1205" i="1"/>
  <c r="F1206" i="1"/>
  <c r="F1208" i="1"/>
  <c r="F1209" i="1"/>
  <c r="F1210" i="1"/>
  <c r="F1211" i="1"/>
  <c r="F1213" i="1"/>
  <c r="F1214" i="1"/>
  <c r="F1215" i="1"/>
  <c r="F1217" i="1"/>
  <c r="F1218" i="1"/>
  <c r="F1220" i="1"/>
  <c r="E1178" i="1"/>
  <c r="F1178" i="1" s="1"/>
  <c r="D1178" i="1"/>
  <c r="E1181" i="1"/>
  <c r="F1181" i="1" s="1"/>
  <c r="D1181" i="1"/>
  <c r="E1185" i="1"/>
  <c r="F1185" i="1" s="1"/>
  <c r="D1185" i="1"/>
  <c r="E1189" i="1"/>
  <c r="D1189" i="1"/>
  <c r="E1193" i="1"/>
  <c r="F1193" i="1" s="1"/>
  <c r="D1193" i="1"/>
  <c r="E1196" i="1"/>
  <c r="F1196" i="1" s="1"/>
  <c r="D1196" i="1"/>
  <c r="E1199" i="1"/>
  <c r="F1199" i="1" s="1"/>
  <c r="D1199" i="1"/>
  <c r="E1202" i="1"/>
  <c r="F1202" i="1" s="1"/>
  <c r="D1202" i="1"/>
  <c r="E1207" i="1"/>
  <c r="F1207" i="1" s="1"/>
  <c r="D1207" i="1"/>
  <c r="E1212" i="1"/>
  <c r="F1212" i="1" s="1"/>
  <c r="D1212" i="1"/>
  <c r="E1219" i="1"/>
  <c r="F1219" i="1" s="1"/>
  <c r="E1216" i="1"/>
  <c r="F1216" i="1" s="1"/>
  <c r="D1216" i="1"/>
  <c r="D1219" i="1"/>
  <c r="F1132" i="1"/>
  <c r="F1133" i="1"/>
  <c r="F1135" i="1"/>
  <c r="F1136" i="1"/>
  <c r="F1137" i="1"/>
  <c r="F1139" i="1"/>
  <c r="F1143" i="1"/>
  <c r="F1144" i="1"/>
  <c r="F1145" i="1"/>
  <c r="F1147" i="1"/>
  <c r="F1148" i="1"/>
  <c r="F1150" i="1"/>
  <c r="F1151" i="1"/>
  <c r="F1153" i="1"/>
  <c r="F1154" i="1"/>
  <c r="F1156" i="1"/>
  <c r="F1157" i="1"/>
  <c r="F1158" i="1"/>
  <c r="F1159" i="1"/>
  <c r="F1161" i="1"/>
  <c r="F1162" i="1"/>
  <c r="F1163" i="1"/>
  <c r="F1164" i="1"/>
  <c r="F1166" i="1"/>
  <c r="F1167" i="1"/>
  <c r="F1168" i="1"/>
  <c r="F1170" i="1"/>
  <c r="F1171" i="1"/>
  <c r="F1173" i="1"/>
  <c r="F1085" i="1"/>
  <c r="F1086" i="1"/>
  <c r="F1088" i="1"/>
  <c r="F1089" i="1"/>
  <c r="F1090" i="1"/>
  <c r="F1092" i="1"/>
  <c r="F1096" i="1"/>
  <c r="F1097" i="1"/>
  <c r="F1098" i="1"/>
  <c r="F1100" i="1"/>
  <c r="F1101" i="1"/>
  <c r="F1103" i="1"/>
  <c r="F1104" i="1"/>
  <c r="F1106" i="1"/>
  <c r="F1107" i="1"/>
  <c r="F1109" i="1"/>
  <c r="F1110" i="1"/>
  <c r="F1111" i="1"/>
  <c r="F1112" i="1"/>
  <c r="F1114" i="1"/>
  <c r="F1115" i="1"/>
  <c r="F1116" i="1"/>
  <c r="F1117" i="1"/>
  <c r="F1119" i="1"/>
  <c r="F1120" i="1"/>
  <c r="F1121" i="1"/>
  <c r="F1123" i="1"/>
  <c r="F1124" i="1"/>
  <c r="F1126" i="1"/>
  <c r="F1038" i="1"/>
  <c r="F1039" i="1"/>
  <c r="F1041" i="1"/>
  <c r="F1042" i="1"/>
  <c r="F1043" i="1"/>
  <c r="F1045" i="1"/>
  <c r="F1050" i="1"/>
  <c r="F1051" i="1"/>
  <c r="F1053" i="1"/>
  <c r="F1054" i="1"/>
  <c r="F1056" i="1"/>
  <c r="F1057" i="1"/>
  <c r="F1059" i="1"/>
  <c r="F1060" i="1"/>
  <c r="F1062" i="1"/>
  <c r="F1063" i="1"/>
  <c r="F1064" i="1"/>
  <c r="F1065" i="1"/>
  <c r="F1067" i="1"/>
  <c r="F1068" i="1"/>
  <c r="F1069" i="1"/>
  <c r="F1070" i="1"/>
  <c r="F1072" i="1"/>
  <c r="F1073" i="1"/>
  <c r="F1074" i="1"/>
  <c r="F1076" i="1"/>
  <c r="F1077" i="1"/>
  <c r="F1079" i="1"/>
  <c r="F991" i="1"/>
  <c r="F992" i="1"/>
  <c r="F994" i="1"/>
  <c r="F995" i="1"/>
  <c r="F996" i="1"/>
  <c r="F998" i="1"/>
  <c r="F1002" i="1"/>
  <c r="F1003" i="1"/>
  <c r="F1004" i="1"/>
  <c r="F1006" i="1"/>
  <c r="F1007" i="1"/>
  <c r="F1009" i="1"/>
  <c r="F1010" i="1"/>
  <c r="F1012" i="1"/>
  <c r="F1013" i="1"/>
  <c r="F1015" i="1"/>
  <c r="F1016" i="1"/>
  <c r="F1017" i="1"/>
  <c r="F1018" i="1"/>
  <c r="F1020" i="1"/>
  <c r="F1021" i="1"/>
  <c r="F1022" i="1"/>
  <c r="F1023" i="1"/>
  <c r="F1025" i="1"/>
  <c r="F1026" i="1"/>
  <c r="F1027" i="1"/>
  <c r="F1029" i="1"/>
  <c r="F1030" i="1"/>
  <c r="F1032" i="1"/>
  <c r="F955" i="1"/>
  <c r="F898" i="1"/>
  <c r="F899" i="1"/>
  <c r="F901" i="1"/>
  <c r="F902" i="1"/>
  <c r="F904" i="1"/>
  <c r="F908" i="1"/>
  <c r="F909" i="1"/>
  <c r="F910" i="1"/>
  <c r="F912" i="1"/>
  <c r="F913" i="1"/>
  <c r="F915" i="1"/>
  <c r="F916" i="1"/>
  <c r="F918" i="1"/>
  <c r="F919" i="1"/>
  <c r="F921" i="1"/>
  <c r="F922" i="1"/>
  <c r="F923" i="1"/>
  <c r="F924" i="1"/>
  <c r="F926" i="1"/>
  <c r="F927" i="1"/>
  <c r="F928" i="1"/>
  <c r="F929" i="1"/>
  <c r="F931" i="1"/>
  <c r="F932" i="1"/>
  <c r="F933" i="1"/>
  <c r="F935" i="1"/>
  <c r="F936" i="1"/>
  <c r="F938" i="1"/>
  <c r="F851" i="1"/>
  <c r="F852" i="1"/>
  <c r="F854" i="1"/>
  <c r="F855" i="1"/>
  <c r="F856" i="1"/>
  <c r="F858" i="1"/>
  <c r="F862" i="1"/>
  <c r="F863" i="1"/>
  <c r="F864" i="1"/>
  <c r="F866" i="1"/>
  <c r="F867" i="1"/>
  <c r="F869" i="1"/>
  <c r="F870" i="1"/>
  <c r="F872" i="1"/>
  <c r="F873" i="1"/>
  <c r="F875" i="1"/>
  <c r="F876" i="1"/>
  <c r="F877" i="1"/>
  <c r="F878" i="1"/>
  <c r="F880" i="1"/>
  <c r="F881" i="1"/>
  <c r="F882" i="1"/>
  <c r="F883" i="1"/>
  <c r="F885" i="1"/>
  <c r="F886" i="1"/>
  <c r="F887" i="1"/>
  <c r="F889" i="1"/>
  <c r="F890" i="1"/>
  <c r="F892" i="1"/>
  <c r="F804" i="1"/>
  <c r="F805" i="1"/>
  <c r="F807" i="1"/>
  <c r="F808" i="1"/>
  <c r="F809" i="1"/>
  <c r="F811" i="1"/>
  <c r="F815" i="1"/>
  <c r="F816" i="1"/>
  <c r="F817" i="1"/>
  <c r="F819" i="1"/>
  <c r="F820" i="1"/>
  <c r="F822" i="1"/>
  <c r="F823" i="1"/>
  <c r="F825" i="1"/>
  <c r="F826" i="1"/>
  <c r="F828" i="1"/>
  <c r="F829" i="1"/>
  <c r="F830" i="1"/>
  <c r="F831" i="1"/>
  <c r="F833" i="1"/>
  <c r="F834" i="1"/>
  <c r="F835" i="1"/>
  <c r="F836" i="1"/>
  <c r="F838" i="1"/>
  <c r="F839" i="1"/>
  <c r="F840" i="1"/>
  <c r="F842" i="1"/>
  <c r="F843" i="1"/>
  <c r="F845" i="1"/>
  <c r="F757" i="1"/>
  <c r="F758" i="1"/>
  <c r="F760" i="1"/>
  <c r="F761" i="1"/>
  <c r="F762" i="1"/>
  <c r="F764" i="1"/>
  <c r="F768" i="1"/>
  <c r="F769" i="1"/>
  <c r="F770" i="1"/>
  <c r="F772" i="1"/>
  <c r="F773" i="1"/>
  <c r="F775" i="1"/>
  <c r="F776" i="1"/>
  <c r="F778" i="1"/>
  <c r="F779" i="1"/>
  <c r="F781" i="1"/>
  <c r="F782" i="1"/>
  <c r="F783" i="1"/>
  <c r="F784" i="1"/>
  <c r="F786" i="1"/>
  <c r="F787" i="1"/>
  <c r="F788" i="1"/>
  <c r="F789" i="1"/>
  <c r="F791" i="1"/>
  <c r="F792" i="1"/>
  <c r="F793" i="1"/>
  <c r="F795" i="1"/>
  <c r="F796" i="1"/>
  <c r="F798" i="1"/>
  <c r="F708" i="1"/>
  <c r="F710" i="1"/>
  <c r="F712" i="1"/>
  <c r="F714" i="1"/>
  <c r="F718" i="1"/>
  <c r="F719" i="1"/>
  <c r="F720" i="1"/>
  <c r="F722" i="1"/>
  <c r="F723" i="1"/>
  <c r="F725" i="1"/>
  <c r="F726" i="1"/>
  <c r="F728" i="1"/>
  <c r="F729" i="1"/>
  <c r="F731" i="1"/>
  <c r="F732" i="1"/>
  <c r="F733" i="1"/>
  <c r="F734" i="1"/>
  <c r="F736" i="1"/>
  <c r="F737" i="1"/>
  <c r="F738" i="1"/>
  <c r="F739" i="1"/>
  <c r="F741" i="1"/>
  <c r="F742" i="1"/>
  <c r="F743" i="1"/>
  <c r="F745" i="1"/>
  <c r="F746" i="1"/>
  <c r="F751" i="1"/>
  <c r="F655" i="1"/>
  <c r="F657" i="1"/>
  <c r="F659" i="1"/>
  <c r="F663" i="1"/>
  <c r="F667" i="1"/>
  <c r="F668" i="1"/>
  <c r="F669" i="1"/>
  <c r="F671" i="1"/>
  <c r="F672" i="1"/>
  <c r="F674" i="1"/>
  <c r="F675" i="1"/>
  <c r="F677" i="1"/>
  <c r="F678" i="1"/>
  <c r="F680" i="1"/>
  <c r="F681" i="1"/>
  <c r="F682" i="1"/>
  <c r="F683" i="1"/>
  <c r="F685" i="1"/>
  <c r="F686" i="1"/>
  <c r="F687" i="1"/>
  <c r="F688" i="1"/>
  <c r="F695" i="1"/>
  <c r="F696" i="1"/>
  <c r="F697" i="1"/>
  <c r="F699" i="1"/>
  <c r="F700" i="1"/>
  <c r="F702" i="1"/>
  <c r="F604" i="1"/>
  <c r="F606" i="1"/>
  <c r="F608" i="1"/>
  <c r="F612" i="1"/>
  <c r="F616" i="1"/>
  <c r="F617" i="1"/>
  <c r="F618" i="1"/>
  <c r="F620" i="1"/>
  <c r="F621" i="1"/>
  <c r="F623" i="1"/>
  <c r="F624" i="1"/>
  <c r="F626" i="1"/>
  <c r="F627" i="1"/>
  <c r="F629" i="1"/>
  <c r="F630" i="1"/>
  <c r="F631" i="1"/>
  <c r="F632" i="1"/>
  <c r="F634" i="1"/>
  <c r="F635" i="1"/>
  <c r="F636" i="1"/>
  <c r="F637" i="1"/>
  <c r="F639" i="1"/>
  <c r="F640" i="1"/>
  <c r="F641" i="1"/>
  <c r="F643" i="1"/>
  <c r="F644" i="1"/>
  <c r="F649" i="1"/>
  <c r="F554" i="1"/>
  <c r="F556" i="1"/>
  <c r="F558" i="1"/>
  <c r="F560" i="1"/>
  <c r="F564" i="1"/>
  <c r="F565" i="1"/>
  <c r="F566" i="1"/>
  <c r="F568" i="1"/>
  <c r="F569" i="1"/>
  <c r="F572" i="1"/>
  <c r="F573" i="1"/>
  <c r="F575" i="1"/>
  <c r="F576" i="1"/>
  <c r="F578" i="1"/>
  <c r="F579" i="1"/>
  <c r="F580" i="1"/>
  <c r="F581" i="1"/>
  <c r="F583" i="1"/>
  <c r="F584" i="1"/>
  <c r="F585" i="1"/>
  <c r="F586" i="1"/>
  <c r="F588" i="1"/>
  <c r="F589" i="1"/>
  <c r="F590" i="1"/>
  <c r="F592" i="1"/>
  <c r="F593" i="1"/>
  <c r="F598" i="1"/>
  <c r="F508" i="1"/>
  <c r="F509" i="1"/>
  <c r="F511" i="1"/>
  <c r="F512" i="1"/>
  <c r="F514" i="1"/>
  <c r="F519" i="1"/>
  <c r="F520" i="1"/>
  <c r="F523" i="1"/>
  <c r="F525" i="1"/>
  <c r="F526" i="1"/>
  <c r="F528" i="1"/>
  <c r="F529" i="1"/>
  <c r="F531" i="1"/>
  <c r="F532" i="1"/>
  <c r="F533" i="1"/>
  <c r="F534" i="1"/>
  <c r="F536" i="1"/>
  <c r="F537" i="1"/>
  <c r="F538" i="1"/>
  <c r="F539" i="1"/>
  <c r="F541" i="1"/>
  <c r="F542" i="1"/>
  <c r="F543" i="1"/>
  <c r="F545" i="1"/>
  <c r="F546" i="1"/>
  <c r="F548" i="1"/>
  <c r="F461" i="1"/>
  <c r="F462" i="1"/>
  <c r="F464" i="1"/>
  <c r="F465" i="1"/>
  <c r="F466" i="1"/>
  <c r="F468" i="1"/>
  <c r="F472" i="1"/>
  <c r="F473" i="1"/>
  <c r="F474" i="1"/>
  <c r="F476" i="1"/>
  <c r="F477" i="1"/>
  <c r="F479" i="1"/>
  <c r="F480" i="1"/>
  <c r="F482" i="1"/>
  <c r="F483" i="1"/>
  <c r="F485" i="1"/>
  <c r="F486" i="1"/>
  <c r="F487" i="1"/>
  <c r="F488" i="1"/>
  <c r="F490" i="1"/>
  <c r="F491" i="1"/>
  <c r="F492" i="1"/>
  <c r="F493" i="1"/>
  <c r="F495" i="1"/>
  <c r="F496" i="1"/>
  <c r="F497" i="1"/>
  <c r="F499" i="1"/>
  <c r="F500" i="1"/>
  <c r="F502" i="1"/>
  <c r="F414" i="1"/>
  <c r="F415" i="1"/>
  <c r="F417" i="1"/>
  <c r="F418" i="1"/>
  <c r="F419" i="1"/>
  <c r="F421" i="1"/>
  <c r="F425" i="1"/>
  <c r="F426" i="1"/>
  <c r="F427" i="1"/>
  <c r="F429" i="1"/>
  <c r="F430" i="1"/>
  <c r="F432" i="1"/>
  <c r="F433" i="1"/>
  <c r="F435" i="1"/>
  <c r="F436" i="1"/>
  <c r="F438" i="1"/>
  <c r="F439" i="1"/>
  <c r="F440" i="1"/>
  <c r="F441" i="1"/>
  <c r="F443" i="1"/>
  <c r="F444" i="1"/>
  <c r="F445" i="1"/>
  <c r="F446" i="1"/>
  <c r="F448" i="1"/>
  <c r="F449" i="1"/>
  <c r="F450" i="1"/>
  <c r="F452" i="1"/>
  <c r="F453" i="1"/>
  <c r="F455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20" i="1"/>
  <c r="F231" i="1"/>
  <c r="F232" i="1"/>
  <c r="F234" i="1"/>
  <c r="F235" i="1"/>
  <c r="F236" i="1"/>
  <c r="F238" i="1"/>
  <c r="F242" i="1"/>
  <c r="F243" i="1"/>
  <c r="F244" i="1"/>
  <c r="F246" i="1"/>
  <c r="F247" i="1"/>
  <c r="F249" i="1"/>
  <c r="F250" i="1"/>
  <c r="F252" i="1"/>
  <c r="F253" i="1"/>
  <c r="F255" i="1"/>
  <c r="F256" i="1"/>
  <c r="F257" i="1"/>
  <c r="F258" i="1"/>
  <c r="F260" i="1"/>
  <c r="F261" i="1"/>
  <c r="F262" i="1"/>
  <c r="F263" i="1"/>
  <c r="F265" i="1"/>
  <c r="F266" i="1"/>
  <c r="F267" i="1"/>
  <c r="F269" i="1"/>
  <c r="F273" i="1"/>
  <c r="F279" i="1"/>
  <c r="F281" i="1"/>
  <c r="F282" i="1"/>
  <c r="F284" i="1"/>
  <c r="F288" i="1"/>
  <c r="F289" i="1"/>
  <c r="F290" i="1"/>
  <c r="F292" i="1"/>
  <c r="F293" i="1"/>
  <c r="F295" i="1"/>
  <c r="F296" i="1"/>
  <c r="F298" i="1"/>
  <c r="F299" i="1"/>
  <c r="F301" i="1"/>
  <c r="F302" i="1"/>
  <c r="F303" i="1"/>
  <c r="F304" i="1"/>
  <c r="F306" i="1"/>
  <c r="F307" i="1"/>
  <c r="F308" i="1"/>
  <c r="F309" i="1"/>
  <c r="F311" i="1"/>
  <c r="F312" i="1"/>
  <c r="F313" i="1"/>
  <c r="F315" i="1"/>
  <c r="F316" i="1"/>
  <c r="F318" i="1"/>
  <c r="F170" i="1"/>
  <c r="F171" i="1"/>
  <c r="F173" i="1"/>
  <c r="F174" i="1"/>
  <c r="F175" i="1"/>
  <c r="F177" i="1"/>
  <c r="F181" i="1"/>
  <c r="F182" i="1"/>
  <c r="F183" i="1"/>
  <c r="F185" i="1"/>
  <c r="F186" i="1"/>
  <c r="F188" i="1"/>
  <c r="F189" i="1"/>
  <c r="F191" i="1"/>
  <c r="F192" i="1"/>
  <c r="F194" i="1"/>
  <c r="F195" i="1"/>
  <c r="F196" i="1"/>
  <c r="F197" i="1"/>
  <c r="F199" i="1"/>
  <c r="F200" i="1"/>
  <c r="F201" i="1"/>
  <c r="F202" i="1"/>
  <c r="F204" i="1"/>
  <c r="F205" i="1"/>
  <c r="F206" i="1"/>
  <c r="F208" i="1"/>
  <c r="F209" i="1"/>
  <c r="F211" i="1"/>
  <c r="F213" i="1"/>
  <c r="F215" i="1"/>
  <c r="F219" i="1"/>
  <c r="F223" i="1"/>
  <c r="F224" i="1"/>
  <c r="F225" i="1"/>
  <c r="F107" i="1"/>
  <c r="F108" i="1"/>
  <c r="F110" i="1"/>
  <c r="F112" i="1"/>
  <c r="F111" i="1"/>
  <c r="F114" i="1"/>
  <c r="F118" i="1"/>
  <c r="F119" i="1"/>
  <c r="F120" i="1"/>
  <c r="F122" i="1"/>
  <c r="F123" i="1"/>
  <c r="F125" i="1"/>
  <c r="F126" i="1"/>
  <c r="F128" i="1"/>
  <c r="F129" i="1"/>
  <c r="F131" i="1"/>
  <c r="F132" i="1"/>
  <c r="F133" i="1"/>
  <c r="F134" i="1"/>
  <c r="F136" i="1"/>
  <c r="F137" i="1"/>
  <c r="F138" i="1"/>
  <c r="F139" i="1"/>
  <c r="F141" i="1"/>
  <c r="F142" i="1"/>
  <c r="F143" i="1"/>
  <c r="F145" i="1"/>
  <c r="F146" i="1"/>
  <c r="F148" i="1"/>
  <c r="F149" i="1"/>
  <c r="F150" i="1"/>
  <c r="F152" i="1"/>
  <c r="F154" i="1"/>
  <c r="F156" i="1"/>
  <c r="F162" i="1"/>
  <c r="F163" i="1"/>
  <c r="F164" i="1"/>
  <c r="F62" i="1"/>
  <c r="F63" i="1"/>
  <c r="F64" i="1"/>
  <c r="F66" i="1"/>
  <c r="F70" i="1"/>
  <c r="F71" i="1"/>
  <c r="F72" i="1"/>
  <c r="F74" i="1"/>
  <c r="F75" i="1"/>
  <c r="F77" i="1"/>
  <c r="F78" i="1"/>
  <c r="F80" i="1"/>
  <c r="F81" i="1"/>
  <c r="F83" i="1"/>
  <c r="F84" i="1"/>
  <c r="F85" i="1"/>
  <c r="F86" i="1"/>
  <c r="F88" i="1"/>
  <c r="F89" i="1"/>
  <c r="F90" i="1"/>
  <c r="F91" i="1"/>
  <c r="F93" i="1"/>
  <c r="F94" i="1"/>
  <c r="F95" i="1"/>
  <c r="F97" i="1"/>
  <c r="F98" i="1"/>
  <c r="F99" i="1"/>
  <c r="F101" i="1"/>
  <c r="F52" i="1"/>
  <c r="F49" i="1"/>
  <c r="F50" i="1"/>
  <c r="F48" i="1"/>
  <c r="F45" i="1"/>
  <c r="F46" i="1"/>
  <c r="F44" i="1"/>
  <c r="F40" i="1"/>
  <c r="F41" i="1"/>
  <c r="F42" i="1"/>
  <c r="F39" i="1"/>
  <c r="F35" i="1"/>
  <c r="F36" i="1"/>
  <c r="F37" i="1"/>
  <c r="F34" i="1"/>
  <c r="F32" i="1"/>
  <c r="F31" i="1"/>
  <c r="F29" i="1"/>
  <c r="F28" i="1"/>
  <c r="F26" i="1"/>
  <c r="F25" i="1"/>
  <c r="F22" i="1"/>
  <c r="F23" i="1"/>
  <c r="F21" i="1"/>
  <c r="F17" i="1"/>
  <c r="F14" i="1"/>
  <c r="F15" i="1"/>
  <c r="F13" i="1"/>
  <c r="F11" i="1"/>
  <c r="F10" i="1"/>
  <c r="E24" i="1"/>
  <c r="F24" i="1" s="1"/>
  <c r="D24" i="1"/>
  <c r="E27" i="1"/>
  <c r="F27" i="1" s="1"/>
  <c r="D27" i="1"/>
  <c r="E30" i="1"/>
  <c r="F30" i="1" s="1"/>
  <c r="D30" i="1"/>
  <c r="F33" i="1"/>
  <c r="F38" i="1"/>
  <c r="F43" i="1"/>
  <c r="F47" i="1"/>
  <c r="F51" i="1"/>
  <c r="F57" i="1"/>
  <c r="E61" i="1"/>
  <c r="F61" i="1" s="1"/>
  <c r="D61" i="1"/>
  <c r="E65" i="1"/>
  <c r="F65" i="1" s="1"/>
  <c r="D65" i="1"/>
  <c r="E69" i="1"/>
  <c r="F69" i="1" s="1"/>
  <c r="D69" i="1"/>
  <c r="E73" i="1"/>
  <c r="F73" i="1" s="1"/>
  <c r="D73" i="1"/>
  <c r="E76" i="1"/>
  <c r="F76" i="1" s="1"/>
  <c r="D76" i="1"/>
  <c r="E79" i="1"/>
  <c r="F79" i="1" s="1"/>
  <c r="D79" i="1"/>
  <c r="E82" i="1"/>
  <c r="F82" i="1" s="1"/>
  <c r="D82" i="1"/>
  <c r="E87" i="1"/>
  <c r="F87" i="1" s="1"/>
  <c r="D87" i="1"/>
  <c r="E92" i="1"/>
  <c r="F92" i="1" s="1"/>
  <c r="D92" i="1"/>
  <c r="E96" i="1"/>
  <c r="F96" i="1" s="1"/>
  <c r="D96" i="1"/>
  <c r="E100" i="1"/>
  <c r="F100" i="1" s="1"/>
  <c r="D100" i="1"/>
  <c r="E106" i="1"/>
  <c r="F106" i="1" s="1"/>
  <c r="D106" i="1"/>
  <c r="E109" i="1"/>
  <c r="F109" i="1" s="1"/>
  <c r="D109" i="1"/>
  <c r="E113" i="1"/>
  <c r="F113" i="1" s="1"/>
  <c r="D113" i="1"/>
  <c r="E117" i="1"/>
  <c r="F117" i="1" s="1"/>
  <c r="D117" i="1"/>
  <c r="E121" i="1"/>
  <c r="F121" i="1" s="1"/>
  <c r="D121" i="1"/>
  <c r="E124" i="1"/>
  <c r="F124" i="1" s="1"/>
  <c r="D124" i="1"/>
  <c r="E127" i="1"/>
  <c r="F127" i="1" s="1"/>
  <c r="D127" i="1"/>
  <c r="E130" i="1"/>
  <c r="F130" i="1" s="1"/>
  <c r="D130" i="1"/>
  <c r="E135" i="1"/>
  <c r="F135" i="1" s="1"/>
  <c r="D135" i="1"/>
  <c r="E140" i="1"/>
  <c r="F140" i="1" s="1"/>
  <c r="D140" i="1"/>
  <c r="E144" i="1"/>
  <c r="F144" i="1" s="1"/>
  <c r="D144" i="1"/>
  <c r="E147" i="1"/>
  <c r="F147" i="1" s="1"/>
  <c r="D147" i="1"/>
  <c r="E151" i="1"/>
  <c r="F151" i="1" s="1"/>
  <c r="D151" i="1"/>
  <c r="E153" i="1"/>
  <c r="F153" i="1" s="1"/>
  <c r="D153" i="1"/>
  <c r="E155" i="1"/>
  <c r="F155" i="1" s="1"/>
  <c r="D155" i="1"/>
  <c r="E161" i="1"/>
  <c r="D161" i="1"/>
  <c r="D158" i="1" s="1"/>
  <c r="D157" i="1" s="1"/>
  <c r="E169" i="1"/>
  <c r="F169" i="1" s="1"/>
  <c r="D169" i="1"/>
  <c r="E172" i="1"/>
  <c r="F172" i="1" s="1"/>
  <c r="D172" i="1"/>
  <c r="E176" i="1"/>
  <c r="F176" i="1" s="1"/>
  <c r="D176" i="1"/>
  <c r="E180" i="1"/>
  <c r="F180" i="1" s="1"/>
  <c r="D180" i="1"/>
  <c r="E184" i="1"/>
  <c r="F184" i="1" s="1"/>
  <c r="D184" i="1"/>
  <c r="E187" i="1"/>
  <c r="F187" i="1" s="1"/>
  <c r="D187" i="1"/>
  <c r="E190" i="1"/>
  <c r="F190" i="1" s="1"/>
  <c r="D190" i="1"/>
  <c r="E193" i="1"/>
  <c r="F193" i="1" s="1"/>
  <c r="D193" i="1"/>
  <c r="E198" i="1"/>
  <c r="F198" i="1" s="1"/>
  <c r="D198" i="1"/>
  <c r="E203" i="1"/>
  <c r="F203" i="1" s="1"/>
  <c r="D203" i="1"/>
  <c r="E207" i="1"/>
  <c r="F207" i="1" s="1"/>
  <c r="D207" i="1"/>
  <c r="E210" i="1"/>
  <c r="F210" i="1" s="1"/>
  <c r="D210" i="1"/>
  <c r="E212" i="1"/>
  <c r="F212" i="1" s="1"/>
  <c r="D212" i="1"/>
  <c r="E214" i="1"/>
  <c r="F214" i="1" s="1"/>
  <c r="D214" i="1"/>
  <c r="E218" i="1"/>
  <c r="E217" i="1" s="1"/>
  <c r="E216" i="1" s="1"/>
  <c r="F216" i="1" s="1"/>
  <c r="D218" i="1"/>
  <c r="D217" i="1" s="1"/>
  <c r="D216" i="1" s="1"/>
  <c r="E222" i="1"/>
  <c r="E221" i="1" s="1"/>
  <c r="E220" i="1" s="1"/>
  <c r="F220" i="1" s="1"/>
  <c r="D222" i="1"/>
  <c r="D221" i="1" s="1"/>
  <c r="D220" i="1" s="1"/>
  <c r="E230" i="1"/>
  <c r="F230" i="1" s="1"/>
  <c r="D230" i="1"/>
  <c r="E233" i="1"/>
  <c r="F233" i="1" s="1"/>
  <c r="D233" i="1"/>
  <c r="E237" i="1"/>
  <c r="F237" i="1" s="1"/>
  <c r="D237" i="1"/>
  <c r="E241" i="1"/>
  <c r="F241" i="1" s="1"/>
  <c r="D241" i="1"/>
  <c r="E245" i="1"/>
  <c r="F245" i="1" s="1"/>
  <c r="D245" i="1"/>
  <c r="E248" i="1"/>
  <c r="F248" i="1" s="1"/>
  <c r="D248" i="1"/>
  <c r="E251" i="1"/>
  <c r="F251" i="1" s="1"/>
  <c r="D251" i="1"/>
  <c r="E254" i="1"/>
  <c r="F254" i="1" s="1"/>
  <c r="D254" i="1"/>
  <c r="E259" i="1"/>
  <c r="F259" i="1" s="1"/>
  <c r="D259" i="1"/>
  <c r="E264" i="1"/>
  <c r="F264" i="1" s="1"/>
  <c r="D264" i="1"/>
  <c r="E268" i="1"/>
  <c r="F268" i="1" s="1"/>
  <c r="D268" i="1"/>
  <c r="E272" i="1"/>
  <c r="F272" i="1" s="1"/>
  <c r="D272" i="1"/>
  <c r="E278" i="1"/>
  <c r="F278" i="1" s="1"/>
  <c r="D278" i="1"/>
  <c r="E280" i="1"/>
  <c r="F280" i="1" s="1"/>
  <c r="D280" i="1"/>
  <c r="E283" i="1"/>
  <c r="F283" i="1" s="1"/>
  <c r="D283" i="1"/>
  <c r="E287" i="1"/>
  <c r="F287" i="1" s="1"/>
  <c r="D287" i="1"/>
  <c r="E291" i="1"/>
  <c r="F291" i="1" s="1"/>
  <c r="D291" i="1"/>
  <c r="E294" i="1"/>
  <c r="F294" i="1" s="1"/>
  <c r="D294" i="1"/>
  <c r="E297" i="1"/>
  <c r="F297" i="1" s="1"/>
  <c r="D297" i="1"/>
  <c r="E300" i="1"/>
  <c r="F300" i="1" s="1"/>
  <c r="D300" i="1"/>
  <c r="E305" i="1"/>
  <c r="F305" i="1" s="1"/>
  <c r="D305" i="1"/>
  <c r="E310" i="1"/>
  <c r="F310" i="1" s="1"/>
  <c r="D310" i="1"/>
  <c r="E314" i="1"/>
  <c r="F314" i="1" s="1"/>
  <c r="D314" i="1"/>
  <c r="E317" i="1"/>
  <c r="F317" i="1" s="1"/>
  <c r="D317" i="1"/>
  <c r="E158" i="1" l="1"/>
  <c r="D1177" i="1"/>
  <c r="D1176" i="1" s="1"/>
  <c r="F222" i="1"/>
  <c r="F161" i="1"/>
  <c r="F218" i="1"/>
  <c r="E1188" i="1"/>
  <c r="E1187" i="1" s="1"/>
  <c r="F1187" i="1" s="1"/>
  <c r="D1188" i="1"/>
  <c r="D1187" i="1" s="1"/>
  <c r="F221" i="1"/>
  <c r="F217" i="1"/>
  <c r="D7" i="1"/>
  <c r="E1177" i="1"/>
  <c r="F1189" i="1"/>
  <c r="D19" i="1"/>
  <c r="D18" i="1" s="1"/>
  <c r="E19" i="1"/>
  <c r="E56" i="1"/>
  <c r="E277" i="1"/>
  <c r="E229" i="1"/>
  <c r="D168" i="1"/>
  <c r="D167" i="1" s="1"/>
  <c r="D68" i="1"/>
  <c r="D67" i="1" s="1"/>
  <c r="D56" i="1"/>
  <c r="D55" i="1" s="1"/>
  <c r="D286" i="1"/>
  <c r="D285" i="1" s="1"/>
  <c r="D240" i="1"/>
  <c r="D239" i="1" s="1"/>
  <c r="E168" i="1"/>
  <c r="E105" i="1"/>
  <c r="E286" i="1"/>
  <c r="E240" i="1"/>
  <c r="D179" i="1"/>
  <c r="D178" i="1" s="1"/>
  <c r="D116" i="1"/>
  <c r="D115" i="1" s="1"/>
  <c r="D105" i="1"/>
  <c r="D104" i="1" s="1"/>
  <c r="D277" i="1"/>
  <c r="D276" i="1" s="1"/>
  <c r="D229" i="1"/>
  <c r="D228" i="1" s="1"/>
  <c r="E179" i="1"/>
  <c r="E116" i="1"/>
  <c r="E68" i="1"/>
  <c r="E413" i="1"/>
  <c r="F413" i="1" s="1"/>
  <c r="D413" i="1"/>
  <c r="E416" i="1"/>
  <c r="F416" i="1" s="1"/>
  <c r="D416" i="1"/>
  <c r="E420" i="1"/>
  <c r="F420" i="1" s="1"/>
  <c r="D420" i="1"/>
  <c r="E424" i="1"/>
  <c r="F424" i="1" s="1"/>
  <c r="D424" i="1"/>
  <c r="E428" i="1"/>
  <c r="F428" i="1" s="1"/>
  <c r="D428" i="1"/>
  <c r="E431" i="1"/>
  <c r="F431" i="1" s="1"/>
  <c r="E434" i="1"/>
  <c r="F434" i="1" s="1"/>
  <c r="D434" i="1"/>
  <c r="E437" i="1"/>
  <c r="F437" i="1" s="1"/>
  <c r="D437" i="1"/>
  <c r="E442" i="1"/>
  <c r="F442" i="1" s="1"/>
  <c r="D442" i="1"/>
  <c r="E447" i="1"/>
  <c r="F447" i="1" s="1"/>
  <c r="D447" i="1"/>
  <c r="E451" i="1"/>
  <c r="F451" i="1" s="1"/>
  <c r="D451" i="1"/>
  <c r="E454" i="1"/>
  <c r="F454" i="1" s="1"/>
  <c r="D454" i="1"/>
  <c r="E460" i="1"/>
  <c r="F460" i="1" s="1"/>
  <c r="D460" i="1"/>
  <c r="E463" i="1"/>
  <c r="F463" i="1" s="1"/>
  <c r="D463" i="1"/>
  <c r="E467" i="1"/>
  <c r="F467" i="1" s="1"/>
  <c r="D467" i="1"/>
  <c r="E471" i="1"/>
  <c r="F471" i="1" s="1"/>
  <c r="D471" i="1"/>
  <c r="E475" i="1"/>
  <c r="F475" i="1" s="1"/>
  <c r="D475" i="1"/>
  <c r="E478" i="1"/>
  <c r="F478" i="1" s="1"/>
  <c r="D478" i="1"/>
  <c r="E481" i="1"/>
  <c r="F481" i="1" s="1"/>
  <c r="D481" i="1"/>
  <c r="E484" i="1"/>
  <c r="F484" i="1" s="1"/>
  <c r="D484" i="1"/>
  <c r="E489" i="1"/>
  <c r="F489" i="1" s="1"/>
  <c r="D489" i="1"/>
  <c r="E494" i="1"/>
  <c r="F494" i="1" s="1"/>
  <c r="D494" i="1"/>
  <c r="E498" i="1"/>
  <c r="F498" i="1" s="1"/>
  <c r="D498" i="1"/>
  <c r="E501" i="1"/>
  <c r="F501" i="1" s="1"/>
  <c r="D501" i="1"/>
  <c r="E507" i="1"/>
  <c r="F507" i="1" s="1"/>
  <c r="D507" i="1"/>
  <c r="E510" i="1"/>
  <c r="F510" i="1" s="1"/>
  <c r="D510" i="1"/>
  <c r="E513" i="1"/>
  <c r="F513" i="1" s="1"/>
  <c r="D513" i="1"/>
  <c r="E517" i="1"/>
  <c r="F517" i="1" s="1"/>
  <c r="D517" i="1"/>
  <c r="E521" i="1"/>
  <c r="F521" i="1" s="1"/>
  <c r="D521" i="1"/>
  <c r="E524" i="1"/>
  <c r="F524" i="1" s="1"/>
  <c r="D524" i="1"/>
  <c r="E527" i="1"/>
  <c r="F527" i="1" s="1"/>
  <c r="D527" i="1"/>
  <c r="E530" i="1"/>
  <c r="F530" i="1" s="1"/>
  <c r="D530" i="1"/>
  <c r="E535" i="1"/>
  <c r="F535" i="1" s="1"/>
  <c r="D535" i="1"/>
  <c r="E540" i="1"/>
  <c r="F540" i="1" s="1"/>
  <c r="D540" i="1"/>
  <c r="E544" i="1"/>
  <c r="F544" i="1" s="1"/>
  <c r="D544" i="1"/>
  <c r="E547" i="1"/>
  <c r="F547" i="1" s="1"/>
  <c r="D547" i="1"/>
  <c r="E553" i="1"/>
  <c r="D553" i="1"/>
  <c r="E555" i="1"/>
  <c r="F555" i="1" s="1"/>
  <c r="D555" i="1"/>
  <c r="E557" i="1"/>
  <c r="F557" i="1" s="1"/>
  <c r="D557" i="1"/>
  <c r="E559" i="1"/>
  <c r="F559" i="1" s="1"/>
  <c r="D559" i="1"/>
  <c r="E563" i="1"/>
  <c r="F563" i="1" s="1"/>
  <c r="D563" i="1"/>
  <c r="E571" i="1"/>
  <c r="F571" i="1" s="1"/>
  <c r="D571" i="1"/>
  <c r="E574" i="1"/>
  <c r="F574" i="1" s="1"/>
  <c r="D574" i="1"/>
  <c r="E577" i="1"/>
  <c r="F577" i="1" s="1"/>
  <c r="D577" i="1"/>
  <c r="D582" i="1"/>
  <c r="E582" i="1"/>
  <c r="F582" i="1" s="1"/>
  <c r="E587" i="1"/>
  <c r="F587" i="1" s="1"/>
  <c r="D587" i="1"/>
  <c r="E591" i="1"/>
  <c r="F591" i="1" s="1"/>
  <c r="D591" i="1"/>
  <c r="F597" i="1"/>
  <c r="E603" i="1"/>
  <c r="D603" i="1"/>
  <c r="E605" i="1"/>
  <c r="F605" i="1" s="1"/>
  <c r="D605" i="1"/>
  <c r="E607" i="1"/>
  <c r="F607" i="1" s="1"/>
  <c r="D607" i="1"/>
  <c r="E611" i="1"/>
  <c r="F611" i="1" s="1"/>
  <c r="D611" i="1"/>
  <c r="E615" i="1"/>
  <c r="D615" i="1"/>
  <c r="E619" i="1"/>
  <c r="F619" i="1" s="1"/>
  <c r="D619" i="1"/>
  <c r="E622" i="1"/>
  <c r="F622" i="1" s="1"/>
  <c r="D622" i="1"/>
  <c r="E625" i="1"/>
  <c r="F625" i="1" s="1"/>
  <c r="D625" i="1"/>
  <c r="E628" i="1"/>
  <c r="F628" i="1" s="1"/>
  <c r="D628" i="1"/>
  <c r="E633" i="1"/>
  <c r="F633" i="1" s="1"/>
  <c r="D633" i="1"/>
  <c r="E638" i="1"/>
  <c r="F638" i="1" s="1"/>
  <c r="D638" i="1"/>
  <c r="E642" i="1"/>
  <c r="F642" i="1" s="1"/>
  <c r="D642" i="1"/>
  <c r="D648" i="1"/>
  <c r="E654" i="1"/>
  <c r="D654" i="1"/>
  <c r="E656" i="1"/>
  <c r="F656" i="1" s="1"/>
  <c r="D656" i="1"/>
  <c r="E658" i="1"/>
  <c r="F658" i="1" s="1"/>
  <c r="E662" i="1"/>
  <c r="F662" i="1" s="1"/>
  <c r="D658" i="1"/>
  <c r="D662" i="1"/>
  <c r="E666" i="1"/>
  <c r="D666" i="1"/>
  <c r="E670" i="1"/>
  <c r="F670" i="1" s="1"/>
  <c r="D670" i="1"/>
  <c r="E673" i="1"/>
  <c r="F673" i="1" s="1"/>
  <c r="D673" i="1"/>
  <c r="E676" i="1"/>
  <c r="F676" i="1" s="1"/>
  <c r="D676" i="1"/>
  <c r="E679" i="1"/>
  <c r="F679" i="1" s="1"/>
  <c r="D679" i="1"/>
  <c r="E684" i="1"/>
  <c r="F684" i="1" s="1"/>
  <c r="D684" i="1"/>
  <c r="E694" i="1"/>
  <c r="F694" i="1" s="1"/>
  <c r="D694" i="1"/>
  <c r="E698" i="1"/>
  <c r="F698" i="1" s="1"/>
  <c r="D698" i="1"/>
  <c r="E701" i="1"/>
  <c r="F701" i="1" s="1"/>
  <c r="D701" i="1"/>
  <c r="E707" i="1"/>
  <c r="F707" i="1" s="1"/>
  <c r="D707" i="1"/>
  <c r="E709" i="1"/>
  <c r="F709" i="1" s="1"/>
  <c r="D709" i="1"/>
  <c r="E711" i="1"/>
  <c r="F711" i="1" s="1"/>
  <c r="D711" i="1"/>
  <c r="E713" i="1"/>
  <c r="F713" i="1" s="1"/>
  <c r="D713" i="1"/>
  <c r="E717" i="1"/>
  <c r="F717" i="1" s="1"/>
  <c r="D717" i="1"/>
  <c r="E721" i="1"/>
  <c r="F721" i="1" s="1"/>
  <c r="D721" i="1"/>
  <c r="E724" i="1"/>
  <c r="F724" i="1" s="1"/>
  <c r="D724" i="1"/>
  <c r="E727" i="1"/>
  <c r="F727" i="1" s="1"/>
  <c r="D727" i="1"/>
  <c r="E730" i="1"/>
  <c r="F730" i="1" s="1"/>
  <c r="D730" i="1"/>
  <c r="E735" i="1"/>
  <c r="F735" i="1" s="1"/>
  <c r="D735" i="1"/>
  <c r="E740" i="1"/>
  <c r="F740" i="1" s="1"/>
  <c r="D740" i="1"/>
  <c r="E744" i="1"/>
  <c r="F744" i="1" s="1"/>
  <c r="D744" i="1"/>
  <c r="E750" i="1"/>
  <c r="F750" i="1" s="1"/>
  <c r="D750" i="1"/>
  <c r="E756" i="1"/>
  <c r="F756" i="1" s="1"/>
  <c r="D756" i="1"/>
  <c r="E759" i="1"/>
  <c r="F759" i="1" s="1"/>
  <c r="D759" i="1"/>
  <c r="D763" i="1"/>
  <c r="E763" i="1"/>
  <c r="F763" i="1" s="1"/>
  <c r="E797" i="1"/>
  <c r="F797" i="1" s="1"/>
  <c r="E794" i="1"/>
  <c r="F794" i="1" s="1"/>
  <c r="E767" i="1"/>
  <c r="F767" i="1" s="1"/>
  <c r="D767" i="1"/>
  <c r="E771" i="1"/>
  <c r="F771" i="1" s="1"/>
  <c r="D771" i="1"/>
  <c r="E774" i="1"/>
  <c r="F774" i="1" s="1"/>
  <c r="D774" i="1"/>
  <c r="E777" i="1"/>
  <c r="F777" i="1" s="1"/>
  <c r="D777" i="1"/>
  <c r="E780" i="1"/>
  <c r="F780" i="1" s="1"/>
  <c r="D780" i="1"/>
  <c r="E785" i="1"/>
  <c r="F785" i="1" s="1"/>
  <c r="D785" i="1"/>
  <c r="E790" i="1"/>
  <c r="F790" i="1" s="1"/>
  <c r="D790" i="1"/>
  <c r="D794" i="1"/>
  <c r="D797" i="1"/>
  <c r="E803" i="1"/>
  <c r="F803" i="1" s="1"/>
  <c r="D803" i="1"/>
  <c r="E806" i="1"/>
  <c r="F806" i="1" s="1"/>
  <c r="D806" i="1"/>
  <c r="E810" i="1"/>
  <c r="F810" i="1" s="1"/>
  <c r="D810" i="1"/>
  <c r="E814" i="1"/>
  <c r="F814" i="1" s="1"/>
  <c r="D814" i="1"/>
  <c r="E818" i="1"/>
  <c r="F818" i="1" s="1"/>
  <c r="D818" i="1"/>
  <c r="E821" i="1"/>
  <c r="F821" i="1" s="1"/>
  <c r="D821" i="1"/>
  <c r="E824" i="1"/>
  <c r="F824" i="1" s="1"/>
  <c r="D824" i="1"/>
  <c r="E827" i="1"/>
  <c r="F827" i="1" s="1"/>
  <c r="D827" i="1"/>
  <c r="E832" i="1"/>
  <c r="F832" i="1" s="1"/>
  <c r="D832" i="1"/>
  <c r="E837" i="1"/>
  <c r="F837" i="1" s="1"/>
  <c r="D837" i="1"/>
  <c r="E841" i="1"/>
  <c r="F841" i="1" s="1"/>
  <c r="D841" i="1"/>
  <c r="E844" i="1"/>
  <c r="F844" i="1" s="1"/>
  <c r="D844" i="1"/>
  <c r="D853" i="1"/>
  <c r="E850" i="1"/>
  <c r="F850" i="1" s="1"/>
  <c r="D850" i="1"/>
  <c r="E853" i="1"/>
  <c r="F853" i="1" s="1"/>
  <c r="E857" i="1"/>
  <c r="F857" i="1" s="1"/>
  <c r="D857" i="1"/>
  <c r="E861" i="1"/>
  <c r="F861" i="1" s="1"/>
  <c r="D861" i="1"/>
  <c r="E865" i="1"/>
  <c r="F865" i="1" s="1"/>
  <c r="D865" i="1"/>
  <c r="E868" i="1"/>
  <c r="F868" i="1" s="1"/>
  <c r="D868" i="1"/>
  <c r="E871" i="1"/>
  <c r="F871" i="1" s="1"/>
  <c r="D871" i="1"/>
  <c r="E874" i="1"/>
  <c r="F874" i="1" s="1"/>
  <c r="D874" i="1"/>
  <c r="E879" i="1"/>
  <c r="F879" i="1" s="1"/>
  <c r="D879" i="1"/>
  <c r="E884" i="1"/>
  <c r="F884" i="1" s="1"/>
  <c r="D884" i="1"/>
  <c r="E888" i="1"/>
  <c r="F888" i="1" s="1"/>
  <c r="D888" i="1"/>
  <c r="E891" i="1"/>
  <c r="F891" i="1" s="1"/>
  <c r="D891" i="1"/>
  <c r="E897" i="1"/>
  <c r="F897" i="1" s="1"/>
  <c r="D897" i="1"/>
  <c r="E900" i="1"/>
  <c r="F900" i="1" s="1"/>
  <c r="D900" i="1"/>
  <c r="E903" i="1"/>
  <c r="F903" i="1" s="1"/>
  <c r="D903" i="1"/>
  <c r="E907" i="1"/>
  <c r="F907" i="1" s="1"/>
  <c r="D907" i="1"/>
  <c r="E911" i="1"/>
  <c r="F911" i="1" s="1"/>
  <c r="D911" i="1"/>
  <c r="E914" i="1"/>
  <c r="F914" i="1" s="1"/>
  <c r="D914" i="1"/>
  <c r="E917" i="1"/>
  <c r="F917" i="1" s="1"/>
  <c r="D917" i="1"/>
  <c r="E920" i="1"/>
  <c r="F920" i="1" s="1"/>
  <c r="D920" i="1"/>
  <c r="E925" i="1"/>
  <c r="F925" i="1" s="1"/>
  <c r="D925" i="1"/>
  <c r="E930" i="1"/>
  <c r="F930" i="1" s="1"/>
  <c r="D930" i="1"/>
  <c r="E934" i="1"/>
  <c r="F934" i="1" s="1"/>
  <c r="D934" i="1"/>
  <c r="E937" i="1"/>
  <c r="F937" i="1" s="1"/>
  <c r="D937" i="1"/>
  <c r="E943" i="1"/>
  <c r="D943" i="1"/>
  <c r="E946" i="1"/>
  <c r="D946" i="1"/>
  <c r="E950" i="1"/>
  <c r="D950" i="1"/>
  <c r="E954" i="1"/>
  <c r="D954" i="1"/>
  <c r="E958" i="1"/>
  <c r="D958" i="1"/>
  <c r="E961" i="1"/>
  <c r="D961" i="1"/>
  <c r="E964" i="1"/>
  <c r="D964" i="1"/>
  <c r="E967" i="1"/>
  <c r="D967" i="1"/>
  <c r="E972" i="1"/>
  <c r="D972" i="1"/>
  <c r="E977" i="1"/>
  <c r="D977" i="1"/>
  <c r="E981" i="1"/>
  <c r="D981" i="1"/>
  <c r="E984" i="1"/>
  <c r="D984" i="1"/>
  <c r="E990" i="1"/>
  <c r="F990" i="1" s="1"/>
  <c r="D990" i="1"/>
  <c r="E993" i="1"/>
  <c r="F993" i="1" s="1"/>
  <c r="D993" i="1"/>
  <c r="E997" i="1"/>
  <c r="F997" i="1" s="1"/>
  <c r="D997" i="1"/>
  <c r="E1001" i="1"/>
  <c r="F1001" i="1" s="1"/>
  <c r="D1001" i="1"/>
  <c r="E1005" i="1"/>
  <c r="F1005" i="1" s="1"/>
  <c r="D1005" i="1"/>
  <c r="E1008" i="1"/>
  <c r="F1008" i="1" s="1"/>
  <c r="D1008" i="1"/>
  <c r="E1011" i="1"/>
  <c r="F1011" i="1" s="1"/>
  <c r="D1011" i="1"/>
  <c r="E1014" i="1"/>
  <c r="F1014" i="1" s="1"/>
  <c r="D1014" i="1"/>
  <c r="E1019" i="1"/>
  <c r="F1019" i="1" s="1"/>
  <c r="D1019" i="1"/>
  <c r="E1024" i="1"/>
  <c r="F1024" i="1" s="1"/>
  <c r="D1024" i="1"/>
  <c r="E1028" i="1"/>
  <c r="F1028" i="1" s="1"/>
  <c r="D1028" i="1"/>
  <c r="E1031" i="1"/>
  <c r="F1031" i="1" s="1"/>
  <c r="D1031" i="1"/>
  <c r="E1037" i="1"/>
  <c r="F1037" i="1" s="1"/>
  <c r="D1037" i="1"/>
  <c r="E1040" i="1"/>
  <c r="F1040" i="1" s="1"/>
  <c r="D1040" i="1"/>
  <c r="E1044" i="1"/>
  <c r="F1044" i="1" s="1"/>
  <c r="D1044" i="1"/>
  <c r="E1048" i="1"/>
  <c r="F1048" i="1" s="1"/>
  <c r="D1048" i="1"/>
  <c r="E1052" i="1"/>
  <c r="F1052" i="1" s="1"/>
  <c r="D1052" i="1"/>
  <c r="E1055" i="1"/>
  <c r="F1055" i="1" s="1"/>
  <c r="D1055" i="1"/>
  <c r="E1058" i="1"/>
  <c r="F1058" i="1" s="1"/>
  <c r="D1058" i="1"/>
  <c r="E1061" i="1"/>
  <c r="F1061" i="1" s="1"/>
  <c r="D1061" i="1"/>
  <c r="E1066" i="1"/>
  <c r="F1066" i="1" s="1"/>
  <c r="D1066" i="1"/>
  <c r="E1071" i="1"/>
  <c r="F1071" i="1" s="1"/>
  <c r="D1071" i="1"/>
  <c r="E1075" i="1"/>
  <c r="F1075" i="1" s="1"/>
  <c r="D1075" i="1"/>
  <c r="E1078" i="1"/>
  <c r="F1078" i="1" s="1"/>
  <c r="D1078" i="1"/>
  <c r="E1084" i="1"/>
  <c r="F1084" i="1" s="1"/>
  <c r="E1087" i="1"/>
  <c r="F1087" i="1" s="1"/>
  <c r="D1087" i="1"/>
  <c r="E1091" i="1"/>
  <c r="F1091" i="1" s="1"/>
  <c r="D1091" i="1"/>
  <c r="E1095" i="1"/>
  <c r="F1095" i="1" s="1"/>
  <c r="D1095" i="1"/>
  <c r="E1099" i="1"/>
  <c r="F1099" i="1" s="1"/>
  <c r="D1099" i="1"/>
  <c r="E1102" i="1"/>
  <c r="F1102" i="1" s="1"/>
  <c r="D1102" i="1"/>
  <c r="E1105" i="1"/>
  <c r="F1105" i="1" s="1"/>
  <c r="D1105" i="1"/>
  <c r="E1108" i="1"/>
  <c r="F1108" i="1" s="1"/>
  <c r="D1108" i="1"/>
  <c r="E1113" i="1"/>
  <c r="F1113" i="1" s="1"/>
  <c r="D1113" i="1"/>
  <c r="E1118" i="1"/>
  <c r="F1118" i="1" s="1"/>
  <c r="D1118" i="1"/>
  <c r="E1122" i="1"/>
  <c r="F1122" i="1" s="1"/>
  <c r="D1122" i="1"/>
  <c r="E1125" i="1"/>
  <c r="F1125" i="1" s="1"/>
  <c r="D1125" i="1"/>
  <c r="E1131" i="1"/>
  <c r="F1131" i="1" s="1"/>
  <c r="D1131" i="1"/>
  <c r="E1134" i="1"/>
  <c r="F1134" i="1" s="1"/>
  <c r="D1134" i="1"/>
  <c r="E1138" i="1"/>
  <c r="F1138" i="1" s="1"/>
  <c r="D1138" i="1"/>
  <c r="E1142" i="1"/>
  <c r="F1142" i="1" s="1"/>
  <c r="D1142" i="1"/>
  <c r="E1146" i="1"/>
  <c r="F1146" i="1" s="1"/>
  <c r="D1146" i="1"/>
  <c r="E1149" i="1"/>
  <c r="F1149" i="1" s="1"/>
  <c r="D1149" i="1"/>
  <c r="E1152" i="1"/>
  <c r="F1152" i="1" s="1"/>
  <c r="D1152" i="1"/>
  <c r="E1155" i="1"/>
  <c r="F1155" i="1" s="1"/>
  <c r="D1155" i="1"/>
  <c r="E1160" i="1"/>
  <c r="F1160" i="1" s="1"/>
  <c r="D1160" i="1"/>
  <c r="E1165" i="1"/>
  <c r="F1165" i="1" s="1"/>
  <c r="D1165" i="1"/>
  <c r="E1169" i="1"/>
  <c r="F1169" i="1" s="1"/>
  <c r="D1169" i="1"/>
  <c r="E1172" i="1"/>
  <c r="F1172" i="1" s="1"/>
  <c r="D1172" i="1"/>
  <c r="E1233" i="1"/>
  <c r="F1233" i="1" s="1"/>
  <c r="D1233" i="1"/>
  <c r="E1236" i="1"/>
  <c r="F1236" i="1" s="1"/>
  <c r="D1236" i="1"/>
  <c r="E1240" i="1"/>
  <c r="F1240" i="1" s="1"/>
  <c r="D1240" i="1"/>
  <c r="E1244" i="1"/>
  <c r="F1244" i="1" s="1"/>
  <c r="D1244" i="1"/>
  <c r="E1248" i="1"/>
  <c r="F1248" i="1" s="1"/>
  <c r="D1248" i="1"/>
  <c r="E1251" i="1"/>
  <c r="F1251" i="1" s="1"/>
  <c r="D1251" i="1"/>
  <c r="E1254" i="1"/>
  <c r="F1254" i="1" s="1"/>
  <c r="D1254" i="1"/>
  <c r="E1257" i="1"/>
  <c r="F1257" i="1" s="1"/>
  <c r="D1257" i="1"/>
  <c r="E1262" i="1"/>
  <c r="F1262" i="1" s="1"/>
  <c r="D1262" i="1"/>
  <c r="E1267" i="1"/>
  <c r="F1267" i="1" s="1"/>
  <c r="D1267" i="1"/>
  <c r="E1271" i="1"/>
  <c r="F1271" i="1" s="1"/>
  <c r="D1271" i="1"/>
  <c r="E1274" i="1"/>
  <c r="F1274" i="1" s="1"/>
  <c r="D1274" i="1"/>
  <c r="E1280" i="1"/>
  <c r="F1280" i="1" s="1"/>
  <c r="D1280" i="1"/>
  <c r="E1289" i="1"/>
  <c r="F1289" i="1" s="1"/>
  <c r="D1289" i="1"/>
  <c r="E1293" i="1"/>
  <c r="D1293" i="1"/>
  <c r="E1297" i="1"/>
  <c r="F1297" i="1" s="1"/>
  <c r="D1297" i="1"/>
  <c r="E1300" i="1"/>
  <c r="F1300" i="1" s="1"/>
  <c r="D1300" i="1"/>
  <c r="E1303" i="1"/>
  <c r="F1303" i="1" s="1"/>
  <c r="D1303" i="1"/>
  <c r="E1306" i="1"/>
  <c r="F1306" i="1" s="1"/>
  <c r="D1306" i="1"/>
  <c r="E1312" i="1"/>
  <c r="F1312" i="1" s="1"/>
  <c r="D1312" i="1"/>
  <c r="E1317" i="1"/>
  <c r="F1317" i="1" s="1"/>
  <c r="E1324" i="1"/>
  <c r="F1324" i="1" s="1"/>
  <c r="D1324" i="1"/>
  <c r="E1326" i="1"/>
  <c r="F1326" i="1" s="1"/>
  <c r="D1326" i="1"/>
  <c r="E1332" i="1"/>
  <c r="E1329" i="1" s="1"/>
  <c r="D1332" i="1"/>
  <c r="E1340" i="1"/>
  <c r="F1340" i="1" s="1"/>
  <c r="D1340" i="1"/>
  <c r="E1348" i="1"/>
  <c r="F1348" i="1" s="1"/>
  <c r="D1348" i="1"/>
  <c r="E1352" i="1"/>
  <c r="D1352" i="1"/>
  <c r="E1356" i="1"/>
  <c r="F1356" i="1" s="1"/>
  <c r="D1356" i="1"/>
  <c r="E1359" i="1"/>
  <c r="F1359" i="1" s="1"/>
  <c r="D1359" i="1"/>
  <c r="E1362" i="1"/>
  <c r="F1362" i="1" s="1"/>
  <c r="D1362" i="1"/>
  <c r="E1365" i="1"/>
  <c r="F1365" i="1" s="1"/>
  <c r="D1365" i="1"/>
  <c r="E1370" i="1"/>
  <c r="F1370" i="1" s="1"/>
  <c r="D1370" i="1"/>
  <c r="E1375" i="1"/>
  <c r="F1375" i="1" s="1"/>
  <c r="D1375" i="1"/>
  <c r="E1379" i="1"/>
  <c r="F1379" i="1" s="1"/>
  <c r="E1385" i="1"/>
  <c r="F1385" i="1" s="1"/>
  <c r="D1385" i="1"/>
  <c r="E1391" i="1"/>
  <c r="E1388" i="1" s="1"/>
  <c r="D1391" i="1"/>
  <c r="E1406" i="1"/>
  <c r="F1406" i="1" s="1"/>
  <c r="E1402" i="1"/>
  <c r="F1402" i="1" s="1"/>
  <c r="E1399" i="1"/>
  <c r="F1399" i="1" s="1"/>
  <c r="D1399" i="1"/>
  <c r="D1402" i="1"/>
  <c r="D1406" i="1"/>
  <c r="E1410" i="1"/>
  <c r="F1410" i="1" s="1"/>
  <c r="D1410" i="1"/>
  <c r="E1414" i="1"/>
  <c r="F1414" i="1" s="1"/>
  <c r="D1414" i="1"/>
  <c r="E1417" i="1"/>
  <c r="F1417" i="1" s="1"/>
  <c r="D1417" i="1"/>
  <c r="E1420" i="1"/>
  <c r="F1420" i="1" s="1"/>
  <c r="D1420" i="1"/>
  <c r="E1423" i="1"/>
  <c r="F1423" i="1" s="1"/>
  <c r="E1428" i="1"/>
  <c r="F1428" i="1" s="1"/>
  <c r="E1433" i="1"/>
  <c r="F1433" i="1" s="1"/>
  <c r="E1437" i="1"/>
  <c r="F1437" i="1" s="1"/>
  <c r="E1440" i="1"/>
  <c r="F1440" i="1" s="1"/>
  <c r="D1423" i="1"/>
  <c r="D1428" i="1"/>
  <c r="D1433" i="1"/>
  <c r="D1437" i="1"/>
  <c r="D1440" i="1"/>
  <c r="D1446" i="1"/>
  <c r="D1449" i="1"/>
  <c r="D1453" i="1"/>
  <c r="E1446" i="1"/>
  <c r="F1446" i="1" s="1"/>
  <c r="E1449" i="1"/>
  <c r="F1449" i="1" s="1"/>
  <c r="E1453" i="1"/>
  <c r="F1453" i="1" s="1"/>
  <c r="E1457" i="1"/>
  <c r="F1457" i="1" s="1"/>
  <c r="E1461" i="1"/>
  <c r="F1461" i="1" s="1"/>
  <c r="E1464" i="1"/>
  <c r="F1464" i="1" s="1"/>
  <c r="E1467" i="1"/>
  <c r="F1467" i="1" s="1"/>
  <c r="E1470" i="1"/>
  <c r="F1470" i="1" s="1"/>
  <c r="E1475" i="1"/>
  <c r="F1475" i="1" s="1"/>
  <c r="E1480" i="1"/>
  <c r="F1480" i="1" s="1"/>
  <c r="E1484" i="1"/>
  <c r="F1484" i="1" s="1"/>
  <c r="E1487" i="1"/>
  <c r="F1487" i="1" s="1"/>
  <c r="D1457" i="1"/>
  <c r="D1461" i="1"/>
  <c r="D1464" i="1"/>
  <c r="D1467" i="1"/>
  <c r="D1470" i="1"/>
  <c r="D1475" i="1"/>
  <c r="D1480" i="1"/>
  <c r="D1484" i="1"/>
  <c r="D1487" i="1"/>
  <c r="E1493" i="1"/>
  <c r="F1493" i="1" s="1"/>
  <c r="E1496" i="1"/>
  <c r="F1496" i="1" s="1"/>
  <c r="E1500" i="1"/>
  <c r="F1500" i="1" s="1"/>
  <c r="E1504" i="1"/>
  <c r="F1504" i="1" s="1"/>
  <c r="E1508" i="1"/>
  <c r="F1508" i="1" s="1"/>
  <c r="E1511" i="1"/>
  <c r="F1511" i="1" s="1"/>
  <c r="E1514" i="1"/>
  <c r="F1514" i="1" s="1"/>
  <c r="E1517" i="1"/>
  <c r="F1517" i="1" s="1"/>
  <c r="E1522" i="1"/>
  <c r="F1522" i="1" s="1"/>
  <c r="E1527" i="1"/>
  <c r="F1527" i="1" s="1"/>
  <c r="E1531" i="1"/>
  <c r="F1531" i="1" s="1"/>
  <c r="E1534" i="1"/>
  <c r="F1534" i="1" s="1"/>
  <c r="D1493" i="1"/>
  <c r="D1496" i="1"/>
  <c r="D1500" i="1"/>
  <c r="D1504" i="1"/>
  <c r="D1508" i="1"/>
  <c r="D1511" i="1"/>
  <c r="D1514" i="1"/>
  <c r="D1517" i="1"/>
  <c r="D1522" i="1"/>
  <c r="D1527" i="1"/>
  <c r="D1531" i="1"/>
  <c r="D1534" i="1"/>
  <c r="D653" i="1" l="1"/>
  <c r="D652" i="1" s="1"/>
  <c r="E653" i="1"/>
  <c r="E652" i="1" s="1"/>
  <c r="D602" i="1"/>
  <c r="F1293" i="1"/>
  <c r="E1292" i="1"/>
  <c r="F603" i="1"/>
  <c r="E602" i="1"/>
  <c r="F1352" i="1"/>
  <c r="E1351" i="1"/>
  <c r="F1351" i="1" s="1"/>
  <c r="D1292" i="1"/>
  <c r="F158" i="1"/>
  <c r="E157" i="1"/>
  <c r="F157" i="1" s="1"/>
  <c r="F666" i="1"/>
  <c r="E665" i="1"/>
  <c r="F654" i="1"/>
  <c r="D614" i="1"/>
  <c r="D613" i="1" s="1"/>
  <c r="F615" i="1"/>
  <c r="E614" i="1"/>
  <c r="E613" i="1" s="1"/>
  <c r="F553" i="1"/>
  <c r="E552" i="1"/>
  <c r="E551" i="1" s="1"/>
  <c r="F551" i="1" s="1"/>
  <c r="D1388" i="1"/>
  <c r="D1387" i="1" s="1"/>
  <c r="D1329" i="1"/>
  <c r="D1328" i="1" s="1"/>
  <c r="F1188" i="1"/>
  <c r="D1175" i="1"/>
  <c r="E18" i="1"/>
  <c r="F18" i="1" s="1"/>
  <c r="F19" i="1"/>
  <c r="F1391" i="1"/>
  <c r="E115" i="1"/>
  <c r="F115" i="1" s="1"/>
  <c r="F116" i="1"/>
  <c r="E285" i="1"/>
  <c r="F285" i="1" s="1"/>
  <c r="F286" i="1"/>
  <c r="E228" i="1"/>
  <c r="F228" i="1" s="1"/>
  <c r="F229" i="1"/>
  <c r="D6" i="1"/>
  <c r="E239" i="1"/>
  <c r="F239" i="1" s="1"/>
  <c r="F240" i="1"/>
  <c r="E178" i="1"/>
  <c r="F178" i="1" s="1"/>
  <c r="F179" i="1"/>
  <c r="E104" i="1"/>
  <c r="F104" i="1" s="1"/>
  <c r="F105" i="1"/>
  <c r="E276" i="1"/>
  <c r="F276" i="1" s="1"/>
  <c r="F277" i="1"/>
  <c r="E67" i="1"/>
  <c r="F67" i="1" s="1"/>
  <c r="F68" i="1"/>
  <c r="F1332" i="1"/>
  <c r="E167" i="1"/>
  <c r="F167" i="1" s="1"/>
  <c r="F168" i="1"/>
  <c r="E55" i="1"/>
  <c r="F55" i="1" s="1"/>
  <c r="F56" i="1"/>
  <c r="E1176" i="1"/>
  <c r="E1175" i="1" s="1"/>
  <c r="F1177" i="1"/>
  <c r="D275" i="1"/>
  <c r="D1492" i="1"/>
  <c r="D1491" i="1" s="1"/>
  <c r="D54" i="1"/>
  <c r="D1083" i="1"/>
  <c r="D1082" i="1" s="1"/>
  <c r="E459" i="1"/>
  <c r="D166" i="1"/>
  <c r="D1445" i="1"/>
  <c r="D1444" i="1" s="1"/>
  <c r="D601" i="1"/>
  <c r="D103" i="1"/>
  <c r="E896" i="1"/>
  <c r="D849" i="1"/>
  <c r="D848" i="1" s="1"/>
  <c r="E802" i="1"/>
  <c r="E755" i="1"/>
  <c r="D227" i="1"/>
  <c r="E1445" i="1"/>
  <c r="E1083" i="1"/>
  <c r="E849" i="1"/>
  <c r="D1503" i="1"/>
  <c r="D1502" i="1" s="1"/>
  <c r="D1409" i="1"/>
  <c r="D1408" i="1" s="1"/>
  <c r="D1398" i="1"/>
  <c r="D1397" i="1" s="1"/>
  <c r="E1339" i="1"/>
  <c r="D1243" i="1"/>
  <c r="D1242" i="1" s="1"/>
  <c r="D1232" i="1"/>
  <c r="D1231" i="1" s="1"/>
  <c r="D1094" i="1"/>
  <c r="D1093" i="1" s="1"/>
  <c r="D1000" i="1"/>
  <c r="D999" i="1" s="1"/>
  <c r="D953" i="1"/>
  <c r="D952" i="1" s="1"/>
  <c r="D906" i="1"/>
  <c r="D905" i="1" s="1"/>
  <c r="D860" i="1"/>
  <c r="D859" i="1" s="1"/>
  <c r="D813" i="1"/>
  <c r="D812" i="1" s="1"/>
  <c r="D716" i="1"/>
  <c r="D715" i="1" s="1"/>
  <c r="D706" i="1"/>
  <c r="D705" i="1" s="1"/>
  <c r="D665" i="1"/>
  <c r="D664" i="1" s="1"/>
  <c r="E506" i="1"/>
  <c r="E1492" i="1"/>
  <c r="E1398" i="1"/>
  <c r="E1243" i="1"/>
  <c r="E1094" i="1"/>
  <c r="E1000" i="1"/>
  <c r="E989" i="1"/>
  <c r="E906" i="1"/>
  <c r="E813" i="1"/>
  <c r="D516" i="1"/>
  <c r="D515" i="1" s="1"/>
  <c r="D470" i="1"/>
  <c r="D469" i="1" s="1"/>
  <c r="E1503" i="1"/>
  <c r="D1291" i="1"/>
  <c r="D1279" i="1"/>
  <c r="D1278" i="1" s="1"/>
  <c r="D1141" i="1"/>
  <c r="D1140" i="1" s="1"/>
  <c r="D1130" i="1"/>
  <c r="D1129" i="1" s="1"/>
  <c r="D1047" i="1"/>
  <c r="D1046" i="1" s="1"/>
  <c r="D1036" i="1"/>
  <c r="D1035" i="1" s="1"/>
  <c r="D989" i="1"/>
  <c r="D988" i="1" s="1"/>
  <c r="D942" i="1"/>
  <c r="D941" i="1" s="1"/>
  <c r="D896" i="1"/>
  <c r="D895" i="1" s="1"/>
  <c r="D802" i="1"/>
  <c r="D801" i="1" s="1"/>
  <c r="D766" i="1"/>
  <c r="D765" i="1" s="1"/>
  <c r="D755" i="1"/>
  <c r="D754" i="1" s="1"/>
  <c r="E562" i="1"/>
  <c r="E516" i="1"/>
  <c r="E470" i="1"/>
  <c r="D423" i="1"/>
  <c r="D422" i="1" s="1"/>
  <c r="D412" i="1"/>
  <c r="D411" i="1" s="1"/>
  <c r="D1456" i="1"/>
  <c r="D1455" i="1" s="1"/>
  <c r="E1456" i="1"/>
  <c r="E1409" i="1"/>
  <c r="D1339" i="1"/>
  <c r="D1338" i="1" s="1"/>
  <c r="E1279" i="1"/>
  <c r="E1232" i="1"/>
  <c r="E1141" i="1"/>
  <c r="E1130" i="1"/>
  <c r="E1047" i="1"/>
  <c r="E1036" i="1"/>
  <c r="E953" i="1"/>
  <c r="E952" i="1" s="1"/>
  <c r="E942" i="1"/>
  <c r="E941" i="1" s="1"/>
  <c r="E860" i="1"/>
  <c r="E766" i="1"/>
  <c r="E716" i="1"/>
  <c r="E706" i="1"/>
  <c r="D562" i="1"/>
  <c r="D561" i="1" s="1"/>
  <c r="D552" i="1"/>
  <c r="D551" i="1" s="1"/>
  <c r="D506" i="1"/>
  <c r="D505" i="1" s="1"/>
  <c r="D459" i="1"/>
  <c r="D458" i="1" s="1"/>
  <c r="E423" i="1"/>
  <c r="E412" i="1"/>
  <c r="F943" i="1"/>
  <c r="F944" i="1"/>
  <c r="F945" i="1"/>
  <c r="F946" i="1"/>
  <c r="F947" i="1"/>
  <c r="F948" i="1"/>
  <c r="F949" i="1"/>
  <c r="F950" i="1"/>
  <c r="F951" i="1"/>
  <c r="F954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D600" i="1" l="1"/>
  <c r="D894" i="1"/>
  <c r="D1081" i="1"/>
  <c r="E166" i="1"/>
  <c r="F166" i="1" s="1"/>
  <c r="E54" i="1"/>
  <c r="F54" i="1" s="1"/>
  <c r="E848" i="1"/>
  <c r="F848" i="1" s="1"/>
  <c r="F849" i="1"/>
  <c r="E1328" i="1"/>
  <c r="F1328" i="1" s="1"/>
  <c r="F1329" i="1"/>
  <c r="E422" i="1"/>
  <c r="F422" i="1" s="1"/>
  <c r="F423" i="1"/>
  <c r="E601" i="1"/>
  <c r="F601" i="1" s="1"/>
  <c r="F602" i="1"/>
  <c r="E905" i="1"/>
  <c r="F905" i="1" s="1"/>
  <c r="F906" i="1"/>
  <c r="E1242" i="1"/>
  <c r="F1242" i="1" s="1"/>
  <c r="F1243" i="1"/>
  <c r="E505" i="1"/>
  <c r="F506" i="1"/>
  <c r="E1082" i="1"/>
  <c r="F1082" i="1" s="1"/>
  <c r="F1083" i="1"/>
  <c r="E801" i="1"/>
  <c r="F801" i="1" s="1"/>
  <c r="F802" i="1"/>
  <c r="E458" i="1"/>
  <c r="F458" i="1" s="1"/>
  <c r="F459" i="1"/>
  <c r="E227" i="1"/>
  <c r="F227" i="1" s="1"/>
  <c r="E1387" i="1"/>
  <c r="F1387" i="1" s="1"/>
  <c r="F1388" i="1"/>
  <c r="E411" i="1"/>
  <c r="F411" i="1" s="1"/>
  <c r="F412" i="1"/>
  <c r="E715" i="1"/>
  <c r="F715" i="1" s="1"/>
  <c r="F716" i="1"/>
  <c r="E1140" i="1"/>
  <c r="F1140" i="1" s="1"/>
  <c r="F1141" i="1"/>
  <c r="E812" i="1"/>
  <c r="F813" i="1"/>
  <c r="E1491" i="1"/>
  <c r="F1491" i="1" s="1"/>
  <c r="F1492" i="1"/>
  <c r="E1408" i="1"/>
  <c r="F1408" i="1" s="1"/>
  <c r="F1409" i="1"/>
  <c r="F614" i="1"/>
  <c r="E1046" i="1"/>
  <c r="F1046" i="1" s="1"/>
  <c r="F1047" i="1"/>
  <c r="E1455" i="1"/>
  <c r="F1455" i="1" s="1"/>
  <c r="F1456" i="1"/>
  <c r="E469" i="1"/>
  <c r="F469" i="1" s="1"/>
  <c r="F470" i="1"/>
  <c r="E1502" i="1"/>
  <c r="F1502" i="1" s="1"/>
  <c r="F1503" i="1"/>
  <c r="F652" i="1"/>
  <c r="F653" i="1"/>
  <c r="E988" i="1"/>
  <c r="F988" i="1" s="1"/>
  <c r="F989" i="1"/>
  <c r="F552" i="1"/>
  <c r="E1444" i="1"/>
  <c r="F1444" i="1" s="1"/>
  <c r="F1445" i="1"/>
  <c r="F1176" i="1"/>
  <c r="F1175" i="1"/>
  <c r="F7" i="1"/>
  <c r="E6" i="1"/>
  <c r="F6" i="1" s="1"/>
  <c r="E561" i="1"/>
  <c r="E550" i="1" s="1"/>
  <c r="F562" i="1"/>
  <c r="E1093" i="1"/>
  <c r="F1094" i="1"/>
  <c r="E754" i="1"/>
  <c r="F754" i="1" s="1"/>
  <c r="F755" i="1"/>
  <c r="E765" i="1"/>
  <c r="F765" i="1" s="1"/>
  <c r="F766" i="1"/>
  <c r="E1035" i="1"/>
  <c r="F1035" i="1" s="1"/>
  <c r="F1036" i="1"/>
  <c r="E1231" i="1"/>
  <c r="F1232" i="1"/>
  <c r="E103" i="1"/>
  <c r="F103" i="1" s="1"/>
  <c r="E705" i="1"/>
  <c r="F705" i="1" s="1"/>
  <c r="F706" i="1"/>
  <c r="E1129" i="1"/>
  <c r="F1129" i="1" s="1"/>
  <c r="F1130" i="1"/>
  <c r="E1291" i="1"/>
  <c r="F1291" i="1" s="1"/>
  <c r="F1292" i="1"/>
  <c r="E515" i="1"/>
  <c r="F515" i="1" s="1"/>
  <c r="F516" i="1"/>
  <c r="E664" i="1"/>
  <c r="F664" i="1" s="1"/>
  <c r="F665" i="1"/>
  <c r="E999" i="1"/>
  <c r="F999" i="1" s="1"/>
  <c r="F1000" i="1"/>
  <c r="E1397" i="1"/>
  <c r="F1397" i="1" s="1"/>
  <c r="F1398" i="1"/>
  <c r="E895" i="1"/>
  <c r="F895" i="1" s="1"/>
  <c r="F896" i="1"/>
  <c r="E275" i="1"/>
  <c r="F275" i="1" s="1"/>
  <c r="E1278" i="1"/>
  <c r="F1278" i="1" s="1"/>
  <c r="F1279" i="1"/>
  <c r="E1338" i="1"/>
  <c r="F1339" i="1"/>
  <c r="E859" i="1"/>
  <c r="F859" i="1" s="1"/>
  <c r="F860" i="1"/>
  <c r="D1128" i="1"/>
  <c r="D753" i="1"/>
  <c r="D847" i="1"/>
  <c r="D1396" i="1"/>
  <c r="D1443" i="1"/>
  <c r="D1490" i="1"/>
  <c r="D550" i="1"/>
  <c r="D410" i="1"/>
  <c r="D1034" i="1"/>
  <c r="D651" i="1"/>
  <c r="D987" i="1"/>
  <c r="F953" i="1"/>
  <c r="D504" i="1"/>
  <c r="E940" i="1"/>
  <c r="D800" i="1"/>
  <c r="D1277" i="1"/>
  <c r="D940" i="1"/>
  <c r="D1230" i="1"/>
  <c r="F941" i="1"/>
  <c r="D457" i="1"/>
  <c r="D704" i="1"/>
  <c r="F942" i="1"/>
  <c r="C1387" i="1"/>
  <c r="C1329" i="1"/>
  <c r="C1328" i="1" s="1"/>
  <c r="F505" i="1" l="1"/>
  <c r="E504" i="1"/>
  <c r="F504" i="1" s="1"/>
  <c r="E457" i="1"/>
  <c r="F457" i="1" s="1"/>
  <c r="E704" i="1"/>
  <c r="F704" i="1" s="1"/>
  <c r="E410" i="1"/>
  <c r="F410" i="1" s="1"/>
  <c r="E847" i="1"/>
  <c r="F847" i="1" s="1"/>
  <c r="E987" i="1"/>
  <c r="F987" i="1" s="1"/>
  <c r="E894" i="1"/>
  <c r="F894" i="1" s="1"/>
  <c r="E651" i="1"/>
  <c r="F651" i="1" s="1"/>
  <c r="E1034" i="1"/>
  <c r="F1034" i="1" s="1"/>
  <c r="E600" i="1"/>
  <c r="F600" i="1" s="1"/>
  <c r="F613" i="1"/>
  <c r="E1396" i="1"/>
  <c r="F1396" i="1" s="1"/>
  <c r="E1128" i="1"/>
  <c r="F1128" i="1" s="1"/>
  <c r="E753" i="1"/>
  <c r="F753" i="1" s="1"/>
  <c r="E1490" i="1"/>
  <c r="F1490" i="1" s="1"/>
  <c r="E1277" i="1"/>
  <c r="F1277" i="1" s="1"/>
  <c r="F550" i="1"/>
  <c r="F561" i="1"/>
  <c r="E800" i="1"/>
  <c r="F800" i="1" s="1"/>
  <c r="F812" i="1"/>
  <c r="F1231" i="1"/>
  <c r="E1230" i="1"/>
  <c r="F1230" i="1" s="1"/>
  <c r="E1081" i="1"/>
  <c r="F1081" i="1" s="1"/>
  <c r="F1093" i="1"/>
  <c r="E1443" i="1"/>
  <c r="F1443" i="1" s="1"/>
  <c r="E1337" i="1"/>
  <c r="F1337" i="1" s="1"/>
  <c r="F1338" i="1"/>
  <c r="F940" i="1"/>
  <c r="F952" i="1"/>
  <c r="C447" i="1" l="1"/>
  <c r="C317" i="1"/>
  <c r="C272" i="1"/>
  <c r="C268" i="1"/>
  <c r="C264" i="1"/>
  <c r="C259" i="1"/>
  <c r="C254" i="1"/>
  <c r="C210" i="1"/>
  <c r="C144" i="1" l="1"/>
  <c r="C648" i="1" l="1"/>
  <c r="C642" i="1"/>
  <c r="C638" i="1"/>
  <c r="C633" i="1"/>
  <c r="C628" i="1"/>
  <c r="C625" i="1"/>
  <c r="C622" i="1"/>
  <c r="C619" i="1"/>
  <c r="C615" i="1"/>
  <c r="C611" i="1"/>
  <c r="C607" i="1"/>
  <c r="C605" i="1"/>
  <c r="C603" i="1"/>
  <c r="C582" i="1"/>
  <c r="C577" i="1"/>
  <c r="C574" i="1"/>
  <c r="C571" i="1"/>
  <c r="C567" i="1"/>
  <c r="C563" i="1"/>
  <c r="C559" i="1"/>
  <c r="C557" i="1"/>
  <c r="C555" i="1"/>
  <c r="C553" i="1"/>
  <c r="C498" i="1"/>
  <c r="C494" i="1"/>
  <c r="C489" i="1" s="1"/>
  <c r="C484" i="1" s="1"/>
  <c r="C481" i="1"/>
  <c r="C478" i="1"/>
  <c r="C475" i="1"/>
  <c r="C471" i="1"/>
  <c r="C463" i="1"/>
  <c r="C460" i="1"/>
  <c r="C454" i="1"/>
  <c r="C451" i="1"/>
  <c r="C442" i="1"/>
  <c r="C437" i="1"/>
  <c r="C434" i="1"/>
  <c r="C431" i="1"/>
  <c r="C428" i="1"/>
  <c r="C424" i="1"/>
  <c r="C420" i="1"/>
  <c r="C416" i="1"/>
  <c r="C414" i="1"/>
  <c r="C413" i="1" s="1"/>
  <c r="C404" i="1"/>
  <c r="C401" i="1"/>
  <c r="C400" i="1" s="1"/>
  <c r="C395" i="1"/>
  <c r="C390" i="1"/>
  <c r="C387" i="1"/>
  <c r="C384" i="1"/>
  <c r="C381" i="1"/>
  <c r="C377" i="1"/>
  <c r="C373" i="1"/>
  <c r="C370" i="1"/>
  <c r="C368" i="1"/>
  <c r="C359" i="1"/>
  <c r="C356" i="1"/>
  <c r="C355" i="1" s="1"/>
  <c r="C350" i="1"/>
  <c r="C345" i="1"/>
  <c r="C342" i="1"/>
  <c r="C339" i="1"/>
  <c r="C336" i="1"/>
  <c r="C332" i="1"/>
  <c r="C328" i="1"/>
  <c r="C325" i="1"/>
  <c r="C323" i="1"/>
  <c r="C314" i="1"/>
  <c r="C311" i="1"/>
  <c r="C310" i="1" s="1"/>
  <c r="C305" i="1"/>
  <c r="C300" i="1"/>
  <c r="C297" i="1"/>
  <c r="C294" i="1"/>
  <c r="C291" i="1"/>
  <c r="C287" i="1"/>
  <c r="C283" i="1"/>
  <c r="C280" i="1"/>
  <c r="C278" i="1"/>
  <c r="C251" i="1"/>
  <c r="C248" i="1"/>
  <c r="C245" i="1"/>
  <c r="C241" i="1"/>
  <c r="C237" i="1"/>
  <c r="C233" i="1"/>
  <c r="C230" i="1"/>
  <c r="C218" i="1"/>
  <c r="C217" i="1" s="1"/>
  <c r="C216" i="1" s="1"/>
  <c r="C214" i="1"/>
  <c r="C212" i="1" s="1"/>
  <c r="C207" i="1"/>
  <c r="C203" i="1"/>
  <c r="C198" i="1"/>
  <c r="C193" i="1"/>
  <c r="C190" i="1"/>
  <c r="C187" i="1"/>
  <c r="C184" i="1"/>
  <c r="C180" i="1"/>
  <c r="C176" i="1"/>
  <c r="C172" i="1"/>
  <c r="C170" i="1"/>
  <c r="C147" i="1"/>
  <c r="C140" i="1"/>
  <c r="C135" i="1"/>
  <c r="C130" i="1"/>
  <c r="C127" i="1"/>
  <c r="C124" i="1"/>
  <c r="C121" i="1"/>
  <c r="C117" i="1"/>
  <c r="C113" i="1"/>
  <c r="C109" i="1"/>
  <c r="C107" i="1"/>
  <c r="C106" i="1" s="1"/>
  <c r="C96" i="1"/>
  <c r="C92" i="1"/>
  <c r="C87" i="1"/>
  <c r="C82" i="1"/>
  <c r="C79" i="1"/>
  <c r="C76" i="1"/>
  <c r="C73" i="1"/>
  <c r="C69" i="1"/>
  <c r="C65" i="1"/>
  <c r="C61" i="1"/>
  <c r="C57" i="1"/>
  <c r="C412" i="1" l="1"/>
  <c r="C411" i="1" s="1"/>
  <c r="C552" i="1"/>
  <c r="C551" i="1" s="1"/>
  <c r="C105" i="1"/>
  <c r="C104" i="1" s="1"/>
  <c r="C501" i="1"/>
  <c r="C240" i="1"/>
  <c r="C367" i="1"/>
  <c r="C366" i="1" s="1"/>
  <c r="C56" i="1"/>
  <c r="C55" i="1" s="1"/>
  <c r="C68" i="1"/>
  <c r="C67" i="1" s="1"/>
  <c r="C229" i="1"/>
  <c r="C228" i="1" s="1"/>
  <c r="C331" i="1"/>
  <c r="C179" i="1"/>
  <c r="C178" i="1" s="1"/>
  <c r="C322" i="1"/>
  <c r="C321" i="1" s="1"/>
  <c r="C423" i="1"/>
  <c r="C116" i="1"/>
  <c r="C602" i="1"/>
  <c r="C601" i="1" s="1"/>
  <c r="C614" i="1"/>
  <c r="C277" i="1"/>
  <c r="C276" i="1" s="1"/>
  <c r="C562" i="1"/>
  <c r="C169" i="1"/>
  <c r="C168" i="1" s="1"/>
  <c r="C167" i="1" s="1"/>
  <c r="C286" i="1"/>
  <c r="C376" i="1"/>
  <c r="C470" i="1"/>
  <c r="C469" i="1" s="1"/>
  <c r="C467" i="1" s="1"/>
  <c r="C459" i="1" s="1"/>
  <c r="C458" i="1" s="1"/>
  <c r="M10" i="56"/>
  <c r="C375" i="1" l="1"/>
  <c r="C365" i="1" s="1"/>
  <c r="C239" i="1"/>
  <c r="C227" i="1" s="1"/>
  <c r="C221" i="1" s="1"/>
  <c r="C220" i="1" s="1"/>
  <c r="C561" i="1"/>
  <c r="C550" i="1" s="1"/>
  <c r="C54" i="1"/>
  <c r="C422" i="1"/>
  <c r="C410" i="1" s="1"/>
  <c r="C285" i="1"/>
  <c r="C275" i="1" s="1"/>
  <c r="C330" i="1"/>
  <c r="C320" i="1" s="1"/>
  <c r="C115" i="1"/>
  <c r="C103" i="1" s="1"/>
  <c r="C613" i="1"/>
  <c r="C600" i="1" s="1"/>
  <c r="C457" i="1"/>
  <c r="C166" i="1"/>
  <c r="C158" i="1" s="1"/>
  <c r="C157" i="1" s="1"/>
  <c r="C172" i="55"/>
  <c r="C187" i="55"/>
  <c r="E180" i="55"/>
  <c r="O12" i="56"/>
  <c r="E185" i="55"/>
  <c r="O36" i="56"/>
  <c r="E181" i="55"/>
  <c r="E186" i="55"/>
  <c r="M20" i="56" l="1"/>
  <c r="M29" i="56" l="1"/>
  <c r="M33" i="56" l="1"/>
  <c r="M13" i="56" l="1"/>
  <c r="M12" i="56" l="1"/>
  <c r="F199" i="36" l="1"/>
  <c r="F195" i="36"/>
  <c r="F156" i="36"/>
  <c r="F154" i="36"/>
  <c r="F151" i="36"/>
  <c r="F148" i="36"/>
  <c r="F147" i="36"/>
  <c r="F141" i="36"/>
  <c r="F136" i="36"/>
  <c r="F135" i="36"/>
  <c r="F130" i="36"/>
  <c r="F129" i="36"/>
  <c r="F125" i="36"/>
  <c r="F113" i="36"/>
  <c r="F109" i="36"/>
  <c r="F108" i="36"/>
  <c r="F107" i="36"/>
  <c r="F106" i="36"/>
  <c r="F105" i="36"/>
  <c r="F83" i="36"/>
  <c r="F82" i="36"/>
  <c r="F79" i="36"/>
  <c r="F78" i="36"/>
  <c r="F69" i="36"/>
  <c r="F68" i="36"/>
  <c r="F67" i="36"/>
  <c r="F66" i="36"/>
  <c r="F65" i="36"/>
  <c r="F64" i="36"/>
  <c r="F63" i="36"/>
  <c r="F62" i="36"/>
  <c r="F61" i="36"/>
  <c r="F55" i="36"/>
  <c r="F54" i="36"/>
  <c r="F53" i="36"/>
  <c r="F36" i="36"/>
  <c r="F35" i="36"/>
  <c r="F30" i="36"/>
  <c r="F25" i="36"/>
  <c r="F24" i="36"/>
  <c r="F21" i="36"/>
  <c r="F15" i="36"/>
  <c r="F14" i="36"/>
  <c r="F12" i="36"/>
  <c r="F11" i="36"/>
  <c r="F10" i="36"/>
  <c r="G201" i="36" a="1"/>
  <c r="G196" i="36" a="1"/>
  <c r="G198" i="36" a="1"/>
  <c r="G197" i="36" a="1"/>
  <c r="G199" i="36" a="1"/>
  <c r="G201" i="36" l="1"/>
  <c r="G196" i="36"/>
  <c r="G198" i="36"/>
  <c r="G199" i="36"/>
  <c r="G197" i="36"/>
  <c r="C9" i="1"/>
  <c r="C12" i="1"/>
  <c r="C16" i="1"/>
  <c r="C20" i="1"/>
  <c r="C24" i="1"/>
  <c r="C27" i="1"/>
  <c r="C30" i="1"/>
  <c r="C33" i="1"/>
  <c r="C38" i="1"/>
  <c r="C43" i="1"/>
  <c r="C47" i="1"/>
  <c r="C51" i="1"/>
  <c r="C8" i="1" l="1"/>
  <c r="C7" i="1" s="1"/>
  <c r="C19" i="1"/>
  <c r="C18" i="1" l="1"/>
  <c r="C6" i="1" s="1"/>
  <c r="M6" i="56" l="1"/>
  <c r="M7" i="56"/>
  <c r="M8" i="56"/>
  <c r="M9" i="56"/>
  <c r="L11" i="56"/>
  <c r="L40" i="56" s="1"/>
  <c r="M15" i="56"/>
  <c r="M16" i="56"/>
  <c r="M17" i="56"/>
  <c r="M18" i="56"/>
  <c r="M19" i="56"/>
  <c r="M21" i="56"/>
  <c r="M23" i="56"/>
  <c r="M24" i="56"/>
  <c r="M25" i="56"/>
  <c r="M26" i="56"/>
  <c r="M27" i="56"/>
  <c r="M28" i="56"/>
  <c r="M30" i="56"/>
  <c r="M31" i="56"/>
  <c r="M32" i="56"/>
  <c r="M35" i="56"/>
  <c r="M36" i="56"/>
  <c r="M39" i="56"/>
  <c r="E40" i="56"/>
  <c r="F40" i="56"/>
  <c r="G40" i="56"/>
  <c r="H40" i="56"/>
  <c r="I40" i="56"/>
  <c r="J40" i="56"/>
  <c r="O38" i="56" s="1"/>
  <c r="K40" i="56"/>
  <c r="E164" i="55"/>
  <c r="E121" i="55"/>
  <c r="E115" i="55"/>
  <c r="D114" i="55"/>
  <c r="E114" i="55" s="1"/>
  <c r="E110" i="55"/>
  <c r="E106" i="55"/>
  <c r="D101" i="55"/>
  <c r="E98" i="55"/>
  <c r="D97" i="55"/>
  <c r="E90" i="55"/>
  <c r="E59" i="55"/>
  <c r="E29" i="55"/>
  <c r="E21" i="55"/>
  <c r="E18" i="55"/>
  <c r="E10" i="55"/>
  <c r="D9" i="55"/>
  <c r="F63" i="55" a="1"/>
  <c r="F159" i="55" a="1"/>
  <c r="F144" i="55" a="1"/>
  <c r="F96" i="55" a="1"/>
  <c r="F77" i="55" a="1"/>
  <c r="F60" i="55" a="1"/>
  <c r="F132" i="55" a="1"/>
  <c r="F85" i="55" a="1"/>
  <c r="F83" i="55" a="1"/>
  <c r="F84" i="55" a="1"/>
  <c r="F50" i="55" a="1"/>
  <c r="F158" i="55" a="1"/>
  <c r="F16" i="55" a="1"/>
  <c r="F133" i="55" a="1"/>
  <c r="F130" i="55" a="1"/>
  <c r="F79" i="55" a="1"/>
  <c r="F112" i="55" a="1"/>
  <c r="F66" i="55" a="1"/>
  <c r="F103" i="55" a="1"/>
  <c r="F31" i="55" a="1"/>
  <c r="F137" i="55" a="1"/>
  <c r="F91" i="55" a="1"/>
  <c r="F52" i="55" a="1"/>
  <c r="F89" i="55" a="1"/>
  <c r="F20" i="55" a="1"/>
  <c r="F30" i="55" a="1"/>
  <c r="F22" i="55" a="1"/>
  <c r="F75" i="55" a="1"/>
  <c r="F123" i="55" a="1"/>
  <c r="F88" i="55" a="1"/>
  <c r="F145" i="55" a="1"/>
  <c r="F117" i="55" a="1"/>
  <c r="F149" i="55" a="1"/>
  <c r="F139" i="55" a="1"/>
  <c r="F73" i="55" a="1"/>
  <c r="F26" i="55" a="1"/>
  <c r="F146" i="55" a="1"/>
  <c r="F69" i="55" a="1"/>
  <c r="F58" i="55" a="1"/>
  <c r="F65" i="55" a="1"/>
  <c r="F32" i="55" a="1"/>
  <c r="F118" i="55" a="1"/>
  <c r="F27" i="55" a="1"/>
  <c r="F80" i="55" a="1"/>
  <c r="F11" i="55" a="1"/>
  <c r="F134" i="55" a="1"/>
  <c r="F154" i="55" a="1"/>
  <c r="F126" i="55" a="1"/>
  <c r="F104" i="55" a="1"/>
  <c r="F153" i="55" a="1"/>
  <c r="F135" i="55" a="1"/>
  <c r="F19" i="55" a="1"/>
  <c r="F55" i="55" a="1"/>
  <c r="F136" i="55" a="1"/>
  <c r="F51" i="55" a="1"/>
  <c r="F125" i="55" a="1"/>
  <c r="F13" i="55" a="1"/>
  <c r="F12" i="55" a="1"/>
  <c r="F161" i="55" a="1"/>
  <c r="F76" i="55" a="1"/>
  <c r="F142" i="55" a="1"/>
  <c r="F48" i="55" a="1"/>
  <c r="F141" i="55" a="1"/>
  <c r="F157" i="55" a="1"/>
  <c r="F124" i="55" a="1"/>
  <c r="F61" i="55" a="1"/>
  <c r="F72" i="55" a="1"/>
  <c r="F45" i="55" a="1"/>
  <c r="F113" i="55" a="1"/>
  <c r="F87" i="55" a="1"/>
  <c r="F122" i="55" a="1"/>
  <c r="F152" i="55" a="1"/>
  <c r="F148" i="55" a="1"/>
  <c r="F156" i="55" a="1"/>
  <c r="F53" i="55" a="1"/>
  <c r="F86" i="55" a="1"/>
  <c r="F37" i="55" a="1"/>
  <c r="F131" i="55" a="1"/>
  <c r="F94" i="55" a="1"/>
  <c r="F120" i="55" a="1"/>
  <c r="F151" i="55" a="1"/>
  <c r="F105" i="55" a="1"/>
  <c r="F43" i="55" a="1"/>
  <c r="F143" i="55" a="1"/>
  <c r="F70" i="55" a="1"/>
  <c r="F38" i="55" a="1"/>
  <c r="F17" i="55" a="1"/>
  <c r="F40" i="55" a="1"/>
  <c r="F140" i="55" a="1"/>
  <c r="F25" i="55" a="1"/>
  <c r="F71" i="55" a="1"/>
  <c r="F167" i="55" a="1"/>
  <c r="F165" i="55" a="1"/>
  <c r="F109" i="55" a="1"/>
  <c r="F67" i="55" a="1"/>
  <c r="F15" i="55" a="1"/>
  <c r="F119" i="55" a="1"/>
  <c r="F99" i="55" a="1"/>
  <c r="F116" i="55" a="1"/>
  <c r="F147" i="55" a="1"/>
  <c r="F14" i="55" a="1"/>
  <c r="F162" i="55" a="1"/>
  <c r="F95" i="55" a="1"/>
  <c r="F129" i="55" a="1"/>
  <c r="F39" i="55" a="1"/>
  <c r="F163" i="55" a="1"/>
  <c r="F78" i="55" a="1"/>
  <c r="F24" i="55" a="1"/>
  <c r="F36" i="55" a="1"/>
  <c r="F33" i="55" a="1"/>
  <c r="F35" i="55" a="1"/>
  <c r="F28" i="55" a="1"/>
  <c r="F62" i="55" a="1"/>
  <c r="F127" i="55" a="1"/>
  <c r="F128" i="55" a="1"/>
  <c r="F107" i="55" a="1"/>
  <c r="F100" i="55" a="1"/>
  <c r="F47" i="55" a="1"/>
  <c r="F41" i="55" a="1"/>
  <c r="F44" i="55" a="1"/>
  <c r="F34" i="55" a="1"/>
  <c r="F81" i="55" a="1"/>
  <c r="F23" i="55" a="1"/>
  <c r="F57" i="55" a="1"/>
  <c r="F49" i="55" a="1"/>
  <c r="F92" i="55" a="1"/>
  <c r="F93" i="55" a="1"/>
  <c r="F108" i="55" a="1"/>
  <c r="F111" i="55" a="1"/>
  <c r="F166" i="55" a="1"/>
  <c r="F42" i="55" a="1"/>
  <c r="F82" i="55" a="1"/>
  <c r="F68" i="55" a="1"/>
  <c r="F64" i="55" a="1"/>
  <c r="F74" i="55" a="1"/>
  <c r="F56" i="55" a="1"/>
  <c r="F150" i="55" a="1"/>
  <c r="F46" i="55" a="1"/>
  <c r="F54" i="55" a="1"/>
  <c r="F138" i="55" a="1"/>
  <c r="F155" i="55" a="1"/>
  <c r="F160" i="55" a="1"/>
  <c r="E9" i="55" l="1"/>
  <c r="E101" i="55"/>
  <c r="M11" i="56"/>
  <c r="F13" i="55"/>
  <c r="F30" i="55"/>
  <c r="F46" i="55"/>
  <c r="F58" i="55"/>
  <c r="F73" i="55"/>
  <c r="F85" i="55"/>
  <c r="F99" i="55"/>
  <c r="F112" i="55"/>
  <c r="F128" i="55"/>
  <c r="F160" i="55"/>
  <c r="F11" i="55"/>
  <c r="F15" i="55"/>
  <c r="F19" i="55"/>
  <c r="F22" i="55"/>
  <c r="F26" i="55"/>
  <c r="F32" i="55"/>
  <c r="F36" i="55"/>
  <c r="F40" i="55"/>
  <c r="F44" i="55"/>
  <c r="F48" i="55"/>
  <c r="F52" i="55"/>
  <c r="F56" i="55"/>
  <c r="F63" i="55"/>
  <c r="F67" i="55"/>
  <c r="F71" i="55"/>
  <c r="F75" i="55"/>
  <c r="F79" i="55"/>
  <c r="F83" i="55"/>
  <c r="F87" i="55"/>
  <c r="F93" i="55"/>
  <c r="F118" i="55"/>
  <c r="F122" i="55"/>
  <c r="F126" i="55"/>
  <c r="F130" i="55"/>
  <c r="F134" i="55"/>
  <c r="F138" i="55"/>
  <c r="F142" i="55"/>
  <c r="F146" i="55"/>
  <c r="F150" i="55"/>
  <c r="F154" i="55"/>
  <c r="F158" i="55"/>
  <c r="F162" i="55"/>
  <c r="F165" i="55"/>
  <c r="F27" i="55"/>
  <c r="F38" i="55"/>
  <c r="F54" i="55"/>
  <c r="F65" i="55"/>
  <c r="F81" i="55"/>
  <c r="F91" i="55"/>
  <c r="F108" i="55"/>
  <c r="F120" i="55"/>
  <c r="F132" i="55"/>
  <c r="F140" i="55"/>
  <c r="F148" i="55"/>
  <c r="F156" i="55"/>
  <c r="F12" i="55"/>
  <c r="F16" i="55"/>
  <c r="F20" i="55"/>
  <c r="F23" i="55"/>
  <c r="F33" i="55"/>
  <c r="F37" i="55"/>
  <c r="F41" i="55"/>
  <c r="F45" i="55"/>
  <c r="F49" i="55"/>
  <c r="F53" i="55"/>
  <c r="F57" i="55"/>
  <c r="F60" i="55"/>
  <c r="F64" i="55"/>
  <c r="F68" i="55"/>
  <c r="F72" i="55"/>
  <c r="F76" i="55"/>
  <c r="F80" i="55"/>
  <c r="F84" i="55"/>
  <c r="F88" i="55"/>
  <c r="F94" i="55"/>
  <c r="F103" i="55"/>
  <c r="F107" i="55"/>
  <c r="F111" i="55"/>
  <c r="F119" i="55"/>
  <c r="F123" i="55"/>
  <c r="F127" i="55"/>
  <c r="F131" i="55"/>
  <c r="F135" i="55"/>
  <c r="F139" i="55"/>
  <c r="F143" i="55"/>
  <c r="F147" i="55"/>
  <c r="F151" i="55"/>
  <c r="F155" i="55"/>
  <c r="F159" i="55"/>
  <c r="F163" i="55"/>
  <c r="F166" i="55"/>
  <c r="F167" i="55"/>
  <c r="F17" i="55"/>
  <c r="F24" i="55"/>
  <c r="F34" i="55"/>
  <c r="F42" i="55"/>
  <c r="F50" i="55"/>
  <c r="F61" i="55"/>
  <c r="F69" i="55"/>
  <c r="F77" i="55"/>
  <c r="F89" i="55"/>
  <c r="F95" i="55"/>
  <c r="F104" i="55"/>
  <c r="F116" i="55"/>
  <c r="F124" i="55"/>
  <c r="F136" i="55"/>
  <c r="F144" i="55"/>
  <c r="F152" i="55"/>
  <c r="F14" i="55"/>
  <c r="F25" i="55"/>
  <c r="F28" i="55"/>
  <c r="F31" i="55"/>
  <c r="F35" i="55"/>
  <c r="F39" i="55"/>
  <c r="F43" i="55"/>
  <c r="F47" i="55"/>
  <c r="F51" i="55"/>
  <c r="F55" i="55"/>
  <c r="F62" i="55"/>
  <c r="F66" i="55"/>
  <c r="F70" i="55"/>
  <c r="F74" i="55"/>
  <c r="F78" i="55"/>
  <c r="F82" i="55"/>
  <c r="F86" i="55"/>
  <c r="F92" i="55"/>
  <c r="F96" i="55"/>
  <c r="F100" i="55"/>
  <c r="F105" i="55"/>
  <c r="F109" i="55"/>
  <c r="F113" i="55"/>
  <c r="F117" i="55"/>
  <c r="F125" i="55"/>
  <c r="F129" i="55"/>
  <c r="F133" i="55"/>
  <c r="F137" i="55"/>
  <c r="F141" i="55"/>
  <c r="F145" i="55"/>
  <c r="F149" i="55"/>
  <c r="F153" i="55"/>
  <c r="F157" i="55"/>
  <c r="F161" i="55"/>
  <c r="E97" i="55"/>
  <c r="D8" i="55"/>
  <c r="D168" i="55" l="1"/>
  <c r="E8" i="55"/>
  <c r="E168" i="55" l="1"/>
  <c r="G116" i="55" l="1"/>
  <c r="E134" i="36" l="1"/>
  <c r="F134" i="36" s="1"/>
  <c r="D134" i="36"/>
  <c r="D115" i="36" l="1"/>
  <c r="C115" i="36"/>
  <c r="C114" i="36" s="1"/>
  <c r="D114" i="36" l="1"/>
  <c r="E52" i="36" l="1"/>
  <c r="F52" i="36" s="1"/>
  <c r="E37" i="36"/>
  <c r="F37" i="36" s="1"/>
  <c r="E32" i="36"/>
  <c r="F32" i="36" s="1"/>
  <c r="E28" i="36"/>
  <c r="F28" i="36" s="1"/>
  <c r="E23" i="36"/>
  <c r="F23" i="36" s="1"/>
  <c r="E9" i="36"/>
  <c r="F9" i="36" s="1"/>
  <c r="E20" i="36"/>
  <c r="E13" i="36"/>
  <c r="F13" i="36" s="1"/>
  <c r="E104" i="36"/>
  <c r="E59" i="36"/>
  <c r="H137" i="36"/>
  <c r="E140" i="36"/>
  <c r="E139" i="36" s="1"/>
  <c r="F139" i="36" s="1"/>
  <c r="E198" i="36"/>
  <c r="E133" i="36"/>
  <c r="E112" i="36"/>
  <c r="E128" i="36"/>
  <c r="E58" i="36" l="1"/>
  <c r="F58" i="36" s="1"/>
  <c r="F59" i="36"/>
  <c r="E197" i="36"/>
  <c r="F198" i="36"/>
  <c r="E103" i="36"/>
  <c r="F103" i="36" s="1"/>
  <c r="F104" i="36"/>
  <c r="E111" i="36"/>
  <c r="F112" i="36"/>
  <c r="E19" i="36"/>
  <c r="F19" i="36" s="1"/>
  <c r="F20" i="36"/>
  <c r="E127" i="36"/>
  <c r="F127" i="36" s="1"/>
  <c r="F128" i="36"/>
  <c r="E31" i="36"/>
  <c r="F31" i="36" s="1"/>
  <c r="E22" i="36"/>
  <c r="F22" i="36" s="1"/>
  <c r="E8" i="36"/>
  <c r="F8" i="36" s="1"/>
  <c r="E110" i="36" l="1"/>
  <c r="F110" i="36" s="1"/>
  <c r="F111" i="36"/>
  <c r="E196" i="36"/>
  <c r="F197" i="36"/>
  <c r="E7" i="36"/>
  <c r="F7" i="36" s="1"/>
  <c r="F196" i="36" l="1"/>
  <c r="E132" i="36"/>
  <c r="E131" i="36" s="1"/>
  <c r="F131" i="36" s="1"/>
  <c r="D197" i="36"/>
  <c r="D196" i="36" s="1"/>
  <c r="C197" i="36"/>
  <c r="C196" i="36" s="1"/>
  <c r="D140" i="36"/>
  <c r="D139" i="36" s="1"/>
  <c r="C140" i="36"/>
  <c r="C139" i="36" s="1"/>
  <c r="D133" i="36"/>
  <c r="D132" i="36" s="1"/>
  <c r="C133" i="36"/>
  <c r="C132" i="36" s="1"/>
  <c r="D128" i="36"/>
  <c r="D127" i="36" s="1"/>
  <c r="C128" i="36"/>
  <c r="C127" i="36" s="1"/>
  <c r="D124" i="36"/>
  <c r="D123" i="36" s="1"/>
  <c r="C124" i="36"/>
  <c r="C123" i="36" s="1"/>
  <c r="D120" i="36"/>
  <c r="D119" i="36" s="1"/>
  <c r="C120" i="36"/>
  <c r="C119" i="36" s="1"/>
  <c r="D112" i="36"/>
  <c r="D111" i="36" s="1"/>
  <c r="D110" i="36" s="1"/>
  <c r="C112" i="36"/>
  <c r="C111" i="36" s="1"/>
  <c r="C110" i="36" s="1"/>
  <c r="D108" i="36"/>
  <c r="C108" i="36"/>
  <c r="D104" i="36"/>
  <c r="D103" i="36" s="1"/>
  <c r="C104" i="36"/>
  <c r="D89" i="36"/>
  <c r="C89" i="36"/>
  <c r="D62" i="36"/>
  <c r="D61" i="36"/>
  <c r="C59" i="36"/>
  <c r="D52" i="36"/>
  <c r="C52" i="36"/>
  <c r="D37" i="36"/>
  <c r="C37" i="36"/>
  <c r="D32" i="36"/>
  <c r="C32" i="36"/>
  <c r="D28" i="36"/>
  <c r="C28" i="36"/>
  <c r="D23" i="36"/>
  <c r="C23" i="36"/>
  <c r="D20" i="36"/>
  <c r="C20" i="36"/>
  <c r="C19" i="36" s="1"/>
  <c r="D14" i="36"/>
  <c r="D13" i="36" s="1"/>
  <c r="C13" i="36"/>
  <c r="D9" i="36"/>
  <c r="C9" i="36"/>
  <c r="C22" i="36" l="1"/>
  <c r="C8" i="36"/>
  <c r="D22" i="36"/>
  <c r="C103" i="36"/>
  <c r="D118" i="36"/>
  <c r="C118" i="36"/>
  <c r="C58" i="36"/>
  <c r="C31" i="36"/>
  <c r="D31" i="36"/>
  <c r="D19" i="36"/>
  <c r="D8" i="36"/>
  <c r="C131" i="36"/>
  <c r="D131" i="36"/>
  <c r="D59" i="36"/>
  <c r="C7" i="36" l="1"/>
  <c r="C6" i="36" s="1"/>
  <c r="D58" i="36"/>
  <c r="D7" i="36" l="1"/>
  <c r="E182" i="55" l="1"/>
  <c r="G112" i="36" a="1"/>
  <c r="G148" i="36" a="1"/>
  <c r="G66" i="36" a="1"/>
  <c r="G84" i="36" a="1"/>
  <c r="G130" i="36" a="1"/>
  <c r="G42" i="36" a="1"/>
  <c r="G124" i="36" a="1"/>
  <c r="G82" i="36" a="1"/>
  <c r="G92" i="36" a="1"/>
  <c r="G110" i="36" a="1"/>
  <c r="G83" i="36" a="1"/>
  <c r="G20" i="36" a="1"/>
  <c r="G65" i="36" a="1"/>
  <c r="G89" i="36" a="1"/>
  <c r="G53" i="36" a="1"/>
  <c r="G143" i="36" a="1"/>
  <c r="G128" i="36" a="1"/>
  <c r="G51" i="36" a="1"/>
  <c r="G11" i="36" a="1"/>
  <c r="G141" i="36" a="1"/>
  <c r="G39" i="36" a="1"/>
  <c r="G183" i="36" a="1"/>
  <c r="G79" i="36" a="1"/>
  <c r="G71" i="36" a="1"/>
  <c r="G179" i="36" a="1"/>
  <c r="G37" i="36" a="1"/>
  <c r="G138" i="36" a="1"/>
  <c r="G64" i="36" a="1"/>
  <c r="G132" i="36" a="1"/>
  <c r="G182" i="36" a="1"/>
  <c r="G44" i="36" a="1"/>
  <c r="G13" i="36" a="1"/>
  <c r="G131" i="36" a="1"/>
  <c r="G105" i="36" a="1"/>
  <c r="G178" i="36" a="1"/>
  <c r="G80" i="36" a="1"/>
  <c r="G63" i="36" a="1"/>
  <c r="G67" i="36" a="1"/>
  <c r="G142" i="36" a="1"/>
  <c r="G6" i="36" a="1"/>
  <c r="G115" i="36" a="1"/>
  <c r="G26" i="36" a="1"/>
  <c r="G58" i="36" a="1"/>
  <c r="G116" i="36" a="1"/>
  <c r="G181" i="36" a="1"/>
  <c r="G14" i="36" a="1"/>
  <c r="G7" i="36" a="1"/>
  <c r="G34" i="36" a="1"/>
  <c r="G91" i="36" a="1"/>
  <c r="G68" i="36" a="1"/>
  <c r="G149" i="36" a="1"/>
  <c r="G54" i="36" a="1"/>
  <c r="G137" i="36" a="1"/>
  <c r="G114" i="36" a="1"/>
  <c r="G88" i="36" a="1"/>
  <c r="G103" i="36" a="1"/>
  <c r="G85" i="36" a="1"/>
  <c r="G118" i="36" a="1"/>
  <c r="G36" i="36" a="1"/>
  <c r="G152" i="36" a="1"/>
  <c r="G157" i="36" a="1"/>
  <c r="G108" i="36" a="1"/>
  <c r="G40" i="36" a="1"/>
  <c r="G180" i="36" a="1"/>
  <c r="G174" i="36" a="1"/>
  <c r="G109" i="36" a="1"/>
  <c r="G158" i="36" a="1"/>
  <c r="G126" i="36" a="1"/>
  <c r="G24" i="36" a="1"/>
  <c r="G121" i="36" a="1"/>
  <c r="G52" i="36" a="1"/>
  <c r="G43" i="36" a="1"/>
  <c r="G90" i="36" a="1"/>
  <c r="G69" i="36" a="1"/>
  <c r="G123" i="36" a="1"/>
  <c r="G12" i="36" a="1"/>
  <c r="G62" i="36" a="1"/>
  <c r="G135" i="36" a="1"/>
  <c r="G119" i="36" a="1"/>
  <c r="G133" i="36" a="1"/>
  <c r="G154" i="36" a="1"/>
  <c r="G107" i="36" a="1"/>
  <c r="G23" i="36" a="1"/>
  <c r="G127" i="36" a="1"/>
  <c r="G19" i="36" a="1"/>
  <c r="G122" i="36" a="1"/>
  <c r="G129" i="36" a="1"/>
  <c r="G25" i="36" a="1"/>
  <c r="G38" i="36" a="1"/>
  <c r="G70" i="36" a="1"/>
  <c r="G78" i="36" a="1"/>
  <c r="G15" i="36" a="1"/>
  <c r="G113" i="36" a="1"/>
  <c r="G8" i="36" a="1"/>
  <c r="G164" i="36" a="1"/>
  <c r="G144" i="36" a="1"/>
  <c r="G160" i="36" a="1"/>
  <c r="G140" i="36" a="1"/>
  <c r="G175" i="36" a="1"/>
  <c r="G163" i="36" a="1"/>
  <c r="G35" i="36" a="1"/>
  <c r="G176" i="36" a="1"/>
  <c r="G147" i="36" a="1"/>
  <c r="G94" i="36" a="1"/>
  <c r="G87" i="36" a="1"/>
  <c r="G93" i="36" a="1"/>
  <c r="G86" i="36" a="1"/>
  <c r="G45" i="36" a="1"/>
  <c r="G106" i="36" a="1"/>
  <c r="G55" i="36" a="1"/>
  <c r="G104" i="36" a="1"/>
  <c r="G30" i="36" a="1"/>
  <c r="G156" i="36" a="1"/>
  <c r="G159" i="36" a="1"/>
  <c r="G28" i="36" a="1"/>
  <c r="G10" i="36" a="1"/>
  <c r="G136" i="36" a="1"/>
  <c r="G61" i="36" a="1"/>
  <c r="G151" i="36" a="1"/>
  <c r="G117" i="36" a="1"/>
  <c r="G72" i="36" a="1"/>
  <c r="G162" i="36" a="1"/>
  <c r="G73" i="36" a="1"/>
  <c r="G21" i="36" a="1"/>
  <c r="G195" i="36" a="1"/>
  <c r="G139" i="36" a="1"/>
  <c r="G125" i="36" a="1"/>
  <c r="G177" i="36" a="1"/>
  <c r="G41" i="36" a="1"/>
  <c r="G59" i="36" a="1"/>
  <c r="G111" i="36" a="1"/>
  <c r="G9" i="36" a="1"/>
  <c r="G161" i="36" a="1"/>
  <c r="G184" i="36" a="1"/>
  <c r="G120" i="36" a="1"/>
  <c r="G22" i="36" a="1"/>
  <c r="G6" i="36" l="1"/>
  <c r="G176" i="36"/>
  <c r="G124" i="36"/>
  <c r="G73" i="36"/>
  <c r="G181" i="36"/>
  <c r="G42" i="36"/>
  <c r="G39" i="36"/>
  <c r="G135" i="36"/>
  <c r="G149" i="36"/>
  <c r="G51" i="36"/>
  <c r="G123" i="36"/>
  <c r="G23" i="36"/>
  <c r="G183" i="36"/>
  <c r="G148" i="36"/>
  <c r="G113" i="36"/>
  <c r="G103" i="36"/>
  <c r="G121" i="36"/>
  <c r="G66" i="36"/>
  <c r="G82" i="36"/>
  <c r="G106" i="36"/>
  <c r="G14" i="36"/>
  <c r="G80" i="36"/>
  <c r="G59" i="36"/>
  <c r="G144" i="36"/>
  <c r="G8" i="36"/>
  <c r="G11" i="36"/>
  <c r="G38" i="36"/>
  <c r="G25" i="36"/>
  <c r="G143" i="36"/>
  <c r="G45" i="36"/>
  <c r="G141" i="36"/>
  <c r="G58" i="36"/>
  <c r="G195" i="36"/>
  <c r="G24" i="36"/>
  <c r="G178" i="36"/>
  <c r="G163" i="36"/>
  <c r="G129" i="36"/>
  <c r="G69" i="36"/>
  <c r="G93" i="36"/>
  <c r="G88" i="36"/>
  <c r="G9" i="36"/>
  <c r="G63" i="36"/>
  <c r="G44" i="36"/>
  <c r="G158" i="36"/>
  <c r="G13" i="36"/>
  <c r="G140" i="36"/>
  <c r="G118" i="36"/>
  <c r="G107" i="36"/>
  <c r="G111" i="36"/>
  <c r="G126" i="36"/>
  <c r="G15" i="36"/>
  <c r="G131" i="36"/>
  <c r="G7" i="36"/>
  <c r="G133" i="36"/>
  <c r="G40" i="36"/>
  <c r="G154" i="36"/>
  <c r="G108" i="36"/>
  <c r="G105" i="36"/>
  <c r="G120" i="36"/>
  <c r="G180" i="36"/>
  <c r="G182" i="36"/>
  <c r="G161" i="36"/>
  <c r="G151" i="36"/>
  <c r="G10" i="36"/>
  <c r="G22" i="36"/>
  <c r="G109" i="36"/>
  <c r="G86" i="36"/>
  <c r="G177" i="36"/>
  <c r="G162" i="36"/>
  <c r="G34" i="36"/>
  <c r="G157" i="36"/>
  <c r="G132" i="36"/>
  <c r="G67" i="36"/>
  <c r="G52" i="36"/>
  <c r="G137" i="36"/>
  <c r="G61" i="36"/>
  <c r="G160" i="36"/>
  <c r="G62" i="36"/>
  <c r="G71" i="36"/>
  <c r="G37" i="36"/>
  <c r="G84" i="36"/>
  <c r="G12" i="36"/>
  <c r="G174" i="36"/>
  <c r="G87" i="36"/>
  <c r="G159" i="36"/>
  <c r="G116" i="36"/>
  <c r="G90" i="36"/>
  <c r="G136" i="36"/>
  <c r="G114" i="36"/>
  <c r="G128" i="36"/>
  <c r="G92" i="36"/>
  <c r="G36" i="36"/>
  <c r="G142" i="36"/>
  <c r="G147" i="36"/>
  <c r="G122" i="36"/>
  <c r="G139" i="36"/>
  <c r="G152" i="36"/>
  <c r="G79" i="36"/>
  <c r="G91" i="36"/>
  <c r="G89" i="36"/>
  <c r="G104" i="36"/>
  <c r="G115" i="36"/>
  <c r="G94" i="36"/>
  <c r="G164" i="36"/>
  <c r="G28" i="36"/>
  <c r="G70" i="36"/>
  <c r="G179" i="36"/>
  <c r="G54" i="36"/>
  <c r="G175" i="36"/>
  <c r="G117" i="36"/>
  <c r="G85" i="36"/>
  <c r="G65" i="36"/>
  <c r="G78" i="36"/>
  <c r="G21" i="36"/>
  <c r="G35" i="36"/>
  <c r="G30" i="36"/>
  <c r="G72" i="36"/>
  <c r="G26" i="36"/>
  <c r="G64" i="36"/>
  <c r="G156" i="36"/>
  <c r="G53" i="36"/>
  <c r="G127" i="36"/>
  <c r="G110" i="36"/>
  <c r="G119" i="36"/>
  <c r="G138" i="36"/>
  <c r="G83" i="36"/>
  <c r="G184" i="36"/>
  <c r="G68" i="36"/>
  <c r="G43" i="36"/>
  <c r="G41" i="36"/>
  <c r="G125" i="36"/>
  <c r="G19" i="36"/>
  <c r="G20" i="36"/>
  <c r="G130" i="36"/>
  <c r="G112" i="36"/>
  <c r="G55" i="36"/>
  <c r="F126" i="36"/>
  <c r="E124" i="36"/>
  <c r="E123" i="36" l="1"/>
  <c r="F123" i="36" s="1"/>
  <c r="F124" i="36"/>
  <c r="E114" i="36" l="1"/>
  <c r="F114" i="36" s="1"/>
  <c r="G32" i="36"/>
  <c r="E6" i="36" l="1"/>
  <c r="E201" i="36" s="1"/>
  <c r="F201" i="36" s="1"/>
  <c r="F6" i="36" l="1"/>
  <c r="M37" i="56"/>
  <c r="C40" i="56"/>
  <c r="M38" i="56"/>
  <c r="D40" i="56"/>
  <c r="M40" i="56" l="1"/>
  <c r="O41" i="56" s="1"/>
  <c r="E176" i="55"/>
  <c r="E177" i="55"/>
  <c r="E179" i="55"/>
  <c r="E183" i="55"/>
  <c r="E173" i="55"/>
  <c r="E174" i="55"/>
  <c r="E175" i="55"/>
  <c r="E178" i="55"/>
  <c r="E184" i="55"/>
  <c r="D172" i="55"/>
  <c r="D187" i="55" l="1"/>
  <c r="E172" i="55"/>
  <c r="E187" i="55" l="1"/>
  <c r="D1351" i="1"/>
  <c r="D1350" i="1" s="1"/>
  <c r="D1337" i="1" s="1"/>
  <c r="E59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<sst xmlns="http://schemas.openxmlformats.org/spreadsheetml/2006/main" count="2168" uniqueCount="424">
  <si>
    <t>Miisaaniyadda
Sannadka 2024</t>
  </si>
  <si>
    <t>Miisaaniyadda
Sannadka 2025</t>
  </si>
  <si>
    <t>Madax</t>
  </si>
  <si>
    <t>Hay'adda</t>
  </si>
  <si>
    <t>Kharashka Miisaaniyadda</t>
  </si>
  <si>
    <t>M.Xige</t>
  </si>
  <si>
    <t>Xaquuqda Shaqaalaha</t>
  </si>
  <si>
    <t>Mushaarka shaqaalaha</t>
  </si>
  <si>
    <t>Mushaarka lacagta ah</t>
  </si>
  <si>
    <t>Mushaharka Shaqaalaha</t>
  </si>
  <si>
    <t>Gunooyinka</t>
  </si>
  <si>
    <t>Gunooyinka Shaqaalaha</t>
  </si>
  <si>
    <t>Gunooyinka kale</t>
  </si>
  <si>
    <t>Qaanbax</t>
  </si>
  <si>
    <t>Qaanbaxa mushaarka iyo gunooyinka</t>
  </si>
  <si>
    <t>Isticmaalka Alaabta iyo Adeegyadda</t>
  </si>
  <si>
    <t>Kharashaadka guud ee hawl socodsiinta</t>
  </si>
  <si>
    <t>Biilasha</t>
  </si>
  <si>
    <t>Nalka</t>
  </si>
  <si>
    <t>Biyaha</t>
  </si>
  <si>
    <t>Isgaarsiinta</t>
  </si>
  <si>
    <t>Kirooyinka</t>
  </si>
  <si>
    <t>Kirooyinka baabuurta</t>
  </si>
  <si>
    <t>Shidaalka, olyada iyo saliida</t>
  </si>
  <si>
    <t>Olyada iyo saliida</t>
  </si>
  <si>
    <t>Dayactiradda</t>
  </si>
  <si>
    <t>Allaabta xafiisyada</t>
  </si>
  <si>
    <t>Qalabka xafiisyada</t>
  </si>
  <si>
    <t>Kharashyada kale</t>
  </si>
  <si>
    <t>Socdaalada</t>
  </si>
  <si>
    <t>Socdaalka dibada</t>
  </si>
  <si>
    <t>Shirarka</t>
  </si>
  <si>
    <t>Wasaaradda hawlaha guud</t>
  </si>
  <si>
    <t>Mushaarka madaxda sare</t>
  </si>
  <si>
    <t>Gunada madaxda sare</t>
  </si>
  <si>
    <t>Hay'adaha Adeega Maamulka</t>
  </si>
  <si>
    <t>Gunno shaqo dheeri ah</t>
  </si>
  <si>
    <t>Mushaarka Xildhibaanada</t>
  </si>
  <si>
    <t>mushaharka lataliyaasha</t>
  </si>
  <si>
    <t>Gunooyinka xildhibaanada</t>
  </si>
  <si>
    <t>Guno shaqo dheeri ah</t>
  </si>
  <si>
    <t>Wasaaradda arimaha gudaha, Fedralka iyo Dimuqraadiyeynta</t>
  </si>
  <si>
    <t>Gunada madaxda</t>
  </si>
  <si>
    <t>Kharashaadka guu ee hawl socodsiinta</t>
  </si>
  <si>
    <t>Kabka</t>
  </si>
  <si>
    <t>Kab lasiiyo qaybaha kale ee Dawlada</t>
  </si>
  <si>
    <t>Wasaaradda Cadaaladda</t>
  </si>
  <si>
    <t>Gollaha garsoorka iyo maxkamada sare</t>
  </si>
  <si>
    <t>Gunnada Madaxda sare</t>
  </si>
  <si>
    <t>Hay'adda Nabad Sugida</t>
  </si>
  <si>
    <t>Mushaarka aan lacagta ahayn</t>
  </si>
  <si>
    <t>Ciidamada Booliska</t>
  </si>
  <si>
    <t>Xaquuqda aan lacagta ahayn</t>
  </si>
  <si>
    <t>Ciidamada Daraawiishta</t>
  </si>
  <si>
    <t>Ciidamada Asluubta</t>
  </si>
  <si>
    <t>Wasaaradda Ganacsiga, Warshadaha iyo maalgashiga</t>
  </si>
  <si>
    <t>Mushaharka madaxda sare</t>
  </si>
  <si>
    <t>Wasaaradda Degaanka iyo isbadelka cimilada</t>
  </si>
  <si>
    <t>Wasaaradda caafimaadka</t>
  </si>
  <si>
    <t>Wasaaradda Shaqada, Shaqaalaha iyo Arimaha Bulshada</t>
  </si>
  <si>
    <t>Wasaaradda horumarinta haweenka iyo arrimaha qoyska</t>
  </si>
  <si>
    <t>Wasaaradda Xanaanada Xoolaha</t>
  </si>
  <si>
    <t>Wasaaradda qorshaynta, dhaqaalaha iyo iskaashiga caalamiga</t>
  </si>
  <si>
    <t>Gollaha Baarlamaanka</t>
  </si>
  <si>
    <t>Wasaaradda Amniga</t>
  </si>
  <si>
    <t>Wadar Guud ee Qoondada Kharashka</t>
  </si>
  <si>
    <t>Wasaaradda Maaliyadda</t>
  </si>
  <si>
    <t>Wasaaradda Gargaaarka iyo ka Hortaga masiibooyinka</t>
  </si>
  <si>
    <t>color</t>
  </si>
  <si>
    <t>Horumarinta Degmooyinka iyo gobaladda</t>
  </si>
  <si>
    <t>Wasaaradda Waxbarashada iyo Tacliinta Sare</t>
  </si>
  <si>
    <t>Level 1</t>
  </si>
  <si>
    <t xml:space="preserve">LEVEL  </t>
  </si>
  <si>
    <t>DIGIT</t>
  </si>
  <si>
    <t>COLOR</t>
  </si>
  <si>
    <t>Level 2</t>
  </si>
  <si>
    <t>Level 3</t>
  </si>
  <si>
    <t>Level 4</t>
  </si>
  <si>
    <t>Level 5</t>
  </si>
  <si>
    <t>FONT SIZE</t>
  </si>
  <si>
    <t>Wasaaradda Warfaafinta, Isgaadhsiinta iyo Tiknoolajiyadda</t>
  </si>
  <si>
    <t>Dakhliga iyo Kharashka oo Koobsan</t>
  </si>
  <si>
    <t>Faah-Faahin</t>
  </si>
  <si>
    <t>Miisaniyadda Sannadka 2024</t>
  </si>
  <si>
    <t>Miisaniyadda Sannadka 2025</t>
  </si>
  <si>
    <t>Wadarta Dakhliga Guud</t>
  </si>
  <si>
    <t>Cashuuraha</t>
  </si>
  <si>
    <t>Cashuuraha dakhliga, faaidada iyo raasumaalka</t>
  </si>
  <si>
    <t>Canshuurta Shakhsiga</t>
  </si>
  <si>
    <t>Canshuurta Mushaarka Shaqaalaha Dawladda</t>
  </si>
  <si>
    <t>Canshuurta Mushaarka Shaqaalaha Gaarka ah</t>
  </si>
  <si>
    <t>Canshuurta Dakhliga Shakhsi  ee Dakhliga Hantida</t>
  </si>
  <si>
    <t>Macaashka ganacsiga</t>
  </si>
  <si>
    <t>Canshuurta Faaiidada Shirkadaha</t>
  </si>
  <si>
    <t>Faa'iidada ganacsiyadda yaryar/dhexe</t>
  </si>
  <si>
    <t>Cashuurta mushaarka iyo xoogsatada</t>
  </si>
  <si>
    <t>Canshuuraha Mushaar Bixinta iyo Xoogsatada ah</t>
  </si>
  <si>
    <t>Cashuurta hantida</t>
  </si>
  <si>
    <t>Canshuurta Dhulka</t>
  </si>
  <si>
    <t>Canshuurta Dhismaha</t>
  </si>
  <si>
    <t>Canshuurta Qaab Dhismeedka Kale (Naqshadaha)</t>
  </si>
  <si>
    <t>Casnhuurta Guryaha, Dhaxalka iyo Hadiyadaha</t>
  </si>
  <si>
    <t>Canshuurta Guryaha</t>
  </si>
  <si>
    <t>Cashuurta dhaxalka iyo hibadda</t>
  </si>
  <si>
    <t>Cashuurta allaabada iyo adeega</t>
  </si>
  <si>
    <t>Canshuuraha Iibka - Hoteellada</t>
  </si>
  <si>
    <t>Canshuuraha Iibka - Isgaarsiinta</t>
  </si>
  <si>
    <t>Canshuuraha Iibka - Shirkadaha Qalabka Korontada</t>
  </si>
  <si>
    <t>Canshuuraha Iibka - Tigidhada Diyaaradda</t>
  </si>
  <si>
    <t>Canshuuraha Iibka - Shirkadaha Adeegga Tv-Yada</t>
  </si>
  <si>
    <t>Canshuuraha Iibka - Warshadaha Yaryar</t>
  </si>
  <si>
    <t>Canshuuraha Iibka - Farmashiyaha</t>
  </si>
  <si>
    <t>Canshuurta Macaashka</t>
  </si>
  <si>
    <t>Cashuurta wax soosaarka gudaha</t>
  </si>
  <si>
    <t>Cashuurta wax soosaarka warshadaha yaryar</t>
  </si>
  <si>
    <t>Canshuurta - Qalabka Guriga</t>
  </si>
  <si>
    <t>Canshuurta - Shidaal</t>
  </si>
  <si>
    <t>Canshuurta - Dhuxusha</t>
  </si>
  <si>
    <t>Canshuurta - Isticmaalka Waddooyinka</t>
  </si>
  <si>
    <t>Canshuurta Adeegga Gaarka ah</t>
  </si>
  <si>
    <t>Casnhuurta Isticmaalka Agabka iyo Ogolaanshaha Isticmaalka Agabka iyo Adeegyada</t>
  </si>
  <si>
    <t>Canshuurta - Kharashka Rakaabka Gudaha</t>
  </si>
  <si>
    <t>Canshuurta - Isticmaalka Waddo Marista (Tremistrale)</t>
  </si>
  <si>
    <t>Canshuurta - Isticmaala Wadada Gaadiidka Xamuulka</t>
  </si>
  <si>
    <t>Canshuurta - Ururinta Nootayada</t>
  </si>
  <si>
    <t>Cashuurta ganacsiga caalamiga iyo wax isdhaafsiga</t>
  </si>
  <si>
    <t>Canshuurta Quutul-Daruuriga</t>
  </si>
  <si>
    <t>Canshuurta Qalabka Dhismaha</t>
  </si>
  <si>
    <t>Canshuurta Qaadka</t>
  </si>
  <si>
    <t>Canshuurta Saabuunta</t>
  </si>
  <si>
    <t>Canshuurta Dahabka</t>
  </si>
  <si>
    <t>Canshuurta - Agabka guryaha lagu Istmcaalo</t>
  </si>
  <si>
    <t>Canshuurta - Dawada &amp; Qalabka Caafimaadka</t>
  </si>
  <si>
    <t>Canshuurta - Agab Xafiiseed</t>
  </si>
  <si>
    <t>Canshuurta - Qalabka Waawayn</t>
  </si>
  <si>
    <t>Canshuurta - Qalabka Madadaalada &amp; Cayaaraha</t>
  </si>
  <si>
    <t>Canshuurta Wax Soo Saarka Xoolaha</t>
  </si>
  <si>
    <t>Canshuurta Wax Soo Saarka Beeraha</t>
  </si>
  <si>
    <t>Canshuurta Cuntadda Badda</t>
  </si>
  <si>
    <t>Cashuurta dhoofinta macdanta</t>
  </si>
  <si>
    <t>Cashuuraha kale</t>
  </si>
  <si>
    <t>Canshuurta Farankaboolada iyo Badqabka Baabuurta</t>
  </si>
  <si>
    <t>Canshuurta Farankaboolada Furdooyinka</t>
  </si>
  <si>
    <t>Canshuurta Badqabka Baabuurta - Galawito</t>
  </si>
  <si>
    <t>Farankaboolada Qaansheegyada iyo Qandaraasyada</t>
  </si>
  <si>
    <t>Qaadhaanka bulshada</t>
  </si>
  <si>
    <t>Deeqaha</t>
  </si>
  <si>
    <t>Deeqaha Dowladaha Shisheeye</t>
  </si>
  <si>
    <t>Deeqaha Hay'adaha Caalamiga</t>
  </si>
  <si>
    <t>Deeqaha Joogtada Oo Lacag Caddaan ah - Katimid DFS</t>
  </si>
  <si>
    <t>Deeqaha Joogtada Oo Kaalmo ah - Katimid DFS</t>
  </si>
  <si>
    <t>Dakhliyada kale</t>
  </si>
  <si>
    <t>Dakhliga hantida</t>
  </si>
  <si>
    <t>Kirada daaraha</t>
  </si>
  <si>
    <t>Kirda baabuurta</t>
  </si>
  <si>
    <t>Kirda baabuurta hayaddaha</t>
  </si>
  <si>
    <t>Kirooyinka Hayaddaha</t>
  </si>
  <si>
    <t>Dakhliga Iibka Agabka iyo Adeegga</t>
  </si>
  <si>
    <t>Khidmadaha Maamulka</t>
  </si>
  <si>
    <t>Khidmada Baasaboorka</t>
  </si>
  <si>
    <t>Canshuurta Ogolaanshaha Shaqada</t>
  </si>
  <si>
    <t>Khidmadda Garoonka</t>
  </si>
  <si>
    <t>Khidmada Shatiga Diyaaradda</t>
  </si>
  <si>
    <t>Khidmada Diyaaradaha Soo Dega</t>
  </si>
  <si>
    <t>Khidmada Diiwaangalinta Ngo-Yada Caalamiga</t>
  </si>
  <si>
    <t>Khidmada Diiwaangalinta Ngo-Yada Gudaha</t>
  </si>
  <si>
    <t>Khidmada Diiwaangalinta Shirkadaha Gudaha</t>
  </si>
  <si>
    <t>Khidmada Beeraha</t>
  </si>
  <si>
    <t>Khidmada Shatiga Macdanta</t>
  </si>
  <si>
    <t>Khidmada Shatiga Wadidda Gawaarida</t>
  </si>
  <si>
    <t>Khidmada Diiwaangelinta Taargada</t>
  </si>
  <si>
    <t>Khidmada Aqoonsiga Shaqsiga</t>
  </si>
  <si>
    <t>Khidmada Shahaadada Dhalashada</t>
  </si>
  <si>
    <t>Khidmada Shahaadada Dhimashada</t>
  </si>
  <si>
    <t>Khidmada Shahaadada Guurka</t>
  </si>
  <si>
    <t>Khidmada Baaritaanka Caafimaadka</t>
  </si>
  <si>
    <t>Khidmada Shahaadada Dhulka</t>
  </si>
  <si>
    <t>Khidmada Wax Ka Beddelka Dhulka</t>
  </si>
  <si>
    <t>Khidmada Adeegyada Waxbarashada</t>
  </si>
  <si>
    <t>Khidmada Lacagaha Imtixaanka</t>
  </si>
  <si>
    <t>Khidmada Shirkadda Amniga</t>
  </si>
  <si>
    <t>Khidmada Shatiga Isgaarsiinta</t>
  </si>
  <si>
    <t>Khidmada Shatiga Daabacaada</t>
  </si>
  <si>
    <t>Khidmada Shatiyada Kale</t>
  </si>
  <si>
    <t>Khidmada Xayeysiinta</t>
  </si>
  <si>
    <t>Khidmada Diiwaangelinta Qandaraaska</t>
  </si>
  <si>
    <t>Khidmada Diiwaangelinta Doorashada</t>
  </si>
  <si>
    <t>Khidmada Diiwaangelinta Dhulka Cusub</t>
  </si>
  <si>
    <t>Khidmada Nootayada Dadweynaha</t>
  </si>
  <si>
    <t>Khidmada Qiimaha Beddelka Dhulka -Kalawareejin</t>
  </si>
  <si>
    <t>Khidmada Galka Muranka Dhulka -Maxkamada</t>
  </si>
  <si>
    <t>Khidmada Dhulka Damiinyaalaha</t>
  </si>
  <si>
    <t>Khidmada Galka Xareynta Codsiga Maxkamadda</t>
  </si>
  <si>
    <t>Khidmada Ogolaanshaha Isticmaalka Dhulka</t>
  </si>
  <si>
    <t>Khidmadda Rakaabka Diyaaradaha</t>
  </si>
  <si>
    <t>Khidmada Bedqabka Xamuulka</t>
  </si>
  <si>
    <t>Ganaaxa iyo Ciqaabaha</t>
  </si>
  <si>
    <t>Ganaax</t>
  </si>
  <si>
    <t>Ciqaabaha</t>
  </si>
  <si>
    <t>Wadarta Kharashka Guud</t>
  </si>
  <si>
    <t>Mushaarka</t>
  </si>
  <si>
    <t>Shidaalka iyo saliida</t>
  </si>
  <si>
    <t>Dayactirka</t>
  </si>
  <si>
    <t>HAY'ADAHA ADEEGGA MAAMULKA</t>
  </si>
  <si>
    <t>WADAR</t>
  </si>
  <si>
    <t>Madaxtooyadda</t>
  </si>
  <si>
    <t>Golaha Baarlamaanka</t>
  </si>
  <si>
    <t xml:space="preserve">Wasaaradda Arimaha Gudaha, Federaalka iyo Dib u Heshiinta </t>
  </si>
  <si>
    <t>Xafiiska Hantidhawrka Guud</t>
  </si>
  <si>
    <t>Hay'adaha Garsoorka</t>
  </si>
  <si>
    <t>Ciidanka Nabad Sugidda</t>
  </si>
  <si>
    <t>Ciidanka Booliska</t>
  </si>
  <si>
    <t>Ciidanka Daraawiishta</t>
  </si>
  <si>
    <t>Ciidanka Asluubta</t>
  </si>
  <si>
    <t>HAY'ADAHA ADEEGGA DHAQAALAHA</t>
  </si>
  <si>
    <t>Wasaaradda Qorshaynta, Horumarinta iyo Iskaashiga Caalamiga</t>
  </si>
  <si>
    <t>Wasaaradda Ganacsiga, Wershadaha iyo Maalgashiga</t>
  </si>
  <si>
    <t>HAY'ADAHA ADEEGGA BULSHADA</t>
  </si>
  <si>
    <t>Wasaaradda Caafimaadka</t>
  </si>
  <si>
    <t>Wasaradda Gargaarka iyo Maaraynta Masiibooyinka</t>
  </si>
  <si>
    <t>WADARTA KHARASHKA</t>
  </si>
  <si>
    <t>Canshuuraha Dadweynaha  ee Mushaar iyo Shaqaalaha</t>
  </si>
  <si>
    <t>Canshuuraha Joogtada ah  ee Hantida Maguurtada ah</t>
  </si>
  <si>
    <t>Cashuuraha guud  ee allaabada iyo adeega</t>
  </si>
  <si>
    <t>Canshuuraha Iibka - Canshuuraha Kale  ee Iibka</t>
  </si>
  <si>
    <t>Canshuuraha Iibka - Alaabta Kale  ee Dibadda Laga Keeno</t>
  </si>
  <si>
    <t>Canshuurta - Dharka iyo Dharka</t>
  </si>
  <si>
    <t>Canshuurta - Saabuunta iyo Alaabta Nadiifinta</t>
  </si>
  <si>
    <t>Canshuurta - Korontada iyo Qalabka Elektarooniga ah</t>
  </si>
  <si>
    <t>Canshuurta - Tamarta iyo Biyaha</t>
  </si>
  <si>
    <t>Cashuuraha kale  ee wax soosaarka gudaha</t>
  </si>
  <si>
    <t>Canshuurta - Bangiyada iyo Xawaaladaha</t>
  </si>
  <si>
    <t>Canshuurta Furdooyinka iyo Waajibaadka Kale  ee Soo Dajinta</t>
  </si>
  <si>
    <t>Canshuurta Korontada iyo Elektarooniga</t>
  </si>
  <si>
    <t xml:space="preserve">Canshuurta Baabuur iyo Qalab Dayactirka </t>
  </si>
  <si>
    <t>Canshuurta Waxyaabaha La isku Qurxiyo iyo Uduga</t>
  </si>
  <si>
    <t>Canshuurta Alaabta Sigaarka iyo Tubaakada</t>
  </si>
  <si>
    <t>Canshuurta Shidaalka iyo Oolyada</t>
  </si>
  <si>
    <t>Canshuurta Dharka iyo Kabaha</t>
  </si>
  <si>
    <t>Canshuurta Maqaarka iyo Alaabaha Maqaarka Laga Sameeyo</t>
  </si>
  <si>
    <t>Canshuurta Alaabooyinka Caagagga ah iyo waxa Laga Sameeyo</t>
  </si>
  <si>
    <t>Canshuurta Alaabaha Kale  ee Soo Dejinta</t>
  </si>
  <si>
    <t>Canshuurta Beey'ada iyo Xabagta</t>
  </si>
  <si>
    <t>Canshuurta Furdooyinka iyo Waajibaadka Kale  ee Dhoofinta</t>
  </si>
  <si>
    <t>Canshuurta Alaabaha Kale  ee Dhoofinta</t>
  </si>
  <si>
    <t xml:space="preserve">Canshuuraha Kale  ee Ganacsiga </t>
  </si>
  <si>
    <t>Deeqaha Dowladaha Shisheeye  ee Lacag Caddaan ah</t>
  </si>
  <si>
    <t>Deeqaha Dowladaha Shisheeye  ee Kaalmada</t>
  </si>
  <si>
    <t>Deeqaha Hay'adaha Caalamiga  ee Lacag Caddaan ah</t>
  </si>
  <si>
    <t>Deeqaha Hay'adaha Caalamiga  ee Kaalmo ah</t>
  </si>
  <si>
    <t>Deeqda Qeybaha kale  ee Dowladda</t>
  </si>
  <si>
    <t>Deeqda Qeybaha kale  ee Dowladda - Joogtada ah</t>
  </si>
  <si>
    <t>Khidmadda Duulimaadka</t>
  </si>
  <si>
    <t xml:space="preserve">Shatiyada Ganacsiga iyo Shaqada </t>
  </si>
  <si>
    <t>Shatiyada Raadiyaha iyo Tv-Ga</t>
  </si>
  <si>
    <t>Khidmada Warqadda Dembi La'aanta</t>
  </si>
  <si>
    <t xml:space="preserve">Ganaaxa, Ciqaabta iyo Luminta Dacwadaha </t>
  </si>
  <si>
    <t>Dakhliga oo Faahfaahsan</t>
  </si>
  <si>
    <t>MIISAANIYADDA QAYBAHA HAY’ADDAHA DOWLADDA</t>
  </si>
  <si>
    <t>HAY'ADAHA ADEEGGA AMNIGA iyo CADAALADA</t>
  </si>
  <si>
    <t>Miisaniyadda Sannadka 2026</t>
  </si>
  <si>
    <t>Miisaaniyadda
Sannadka 2026</t>
  </si>
  <si>
    <t>MIISAANIYADDA HAY'ADAHA DOWLADDA WAQOOYI BARI 2026</t>
  </si>
  <si>
    <t>SHAXDA J: SOO KOOBIDDA MIISAANIYADDA HAY'ADAHA DOWLADDA WAQOOYI BARI 2026</t>
  </si>
  <si>
    <t>Wasaaradda Beeraha, Waraabka iyo Horumarinta Reer Miyiga</t>
  </si>
  <si>
    <t>Wasaaraddda Betroolka iyo Macdanta</t>
  </si>
  <si>
    <t xml:space="preserve">Wasaarada Duulista Hawada </t>
  </si>
  <si>
    <t>Wasaaradda Cadaaladda,  Awqaafta, Arrimaha Diinta iyo Dastuurka</t>
  </si>
  <si>
    <t>Wasaaradda Xannaanada Xoolaha, Dhirta iyo Daaqa</t>
  </si>
  <si>
    <t>Wasaaradda Hawlaha Guud, Gaadiidka iyo Guryeynta</t>
  </si>
  <si>
    <t>Wasaaradda Tamarta iyo Biyaha</t>
  </si>
  <si>
    <t>Wasaaradda Deegaanka, Duurjoogta iyo Isbadelka Cimiladda</t>
  </si>
  <si>
    <t>Wasaaradda Waxbarashada</t>
  </si>
  <si>
    <t>Wasaradda Shaqada iyo Shaqalaha Dhalinyarada iyo Ciyaaraha</t>
  </si>
  <si>
    <t>Wasaaradda Haweenka, Arimaha iyo Xuquuqul Insaanka</t>
  </si>
  <si>
    <t>Shaxda B: Soo Koobida Miisaaniyadda Dakhliga 2026</t>
  </si>
  <si>
    <t>Miisaniyadda Bileedka 2026</t>
  </si>
  <si>
    <t>Shaxda T: Soo Koobida Miisaaniyadda Dakhliga 2026</t>
  </si>
  <si>
    <t xml:space="preserve">MIISAANIYADDA DAWLADDA WAQOOYI-BARI </t>
  </si>
  <si>
    <t>Qiyaas Bileed 2026</t>
  </si>
  <si>
    <t>SHAXDA 1: MIISAANIYADDA MADAXTOOYADDA 2026</t>
  </si>
  <si>
    <t>Qiyaas Bileedka 2026</t>
  </si>
  <si>
    <t>Qiyaas Bileedka</t>
  </si>
  <si>
    <t>DAWLADDA WAQOOYI BARI EE SOOMAALIYEED</t>
  </si>
  <si>
    <t xml:space="preserve">MIISAANIYADDA </t>
  </si>
  <si>
    <t>SANNADKA 2026</t>
  </si>
  <si>
    <t xml:space="preserve"> EE SOOMAALIYEED SANADKA 2026</t>
  </si>
  <si>
    <t xml:space="preserve">Qiyaas Bileedka </t>
  </si>
  <si>
    <t>Soo Koobida Kharashka 2026</t>
  </si>
  <si>
    <t>Madaxtooyada Waqooyi Bari</t>
  </si>
  <si>
    <t>Xafiiska Xisaabaadka Guud</t>
  </si>
  <si>
    <t>Xafiiska Qurbajoogta</t>
  </si>
  <si>
    <t>Xafiiska Qurbajoota</t>
  </si>
  <si>
    <t>Wasaaradda Dekedaha iyo Gaadiidka Badda</t>
  </si>
  <si>
    <t>Wasaaradda Kaluumaysiga iyo Khayraadka Badda</t>
  </si>
  <si>
    <t>Hantidhawrka guud ee Dawlad</t>
  </si>
  <si>
    <t>Wasaaradda Beeraha Waraabka iyo Horumarin Reer Miyiga</t>
  </si>
  <si>
    <t>Wasaaradda Betroolka iyo Macdanta</t>
  </si>
  <si>
    <t>Wasaaradda Duulista Hawada iyo Garoomada</t>
  </si>
  <si>
    <t>Xisaabaadka guud ee Dawladda</t>
  </si>
  <si>
    <t>Daryeelka Bulshada</t>
  </si>
  <si>
    <t>Qalabka agabka iyo adeegga</t>
  </si>
  <si>
    <t>Horumarinta Degmooyinka iyo Goboladda</t>
  </si>
  <si>
    <t>Xayeysiinta, Daabacaadaha iyo Rukumashada</t>
  </si>
  <si>
    <t>Shirarka iyo Socdaalka</t>
  </si>
  <si>
    <t>Socdaalka Gudaha</t>
  </si>
  <si>
    <t>Shirarka Gudaha</t>
  </si>
  <si>
    <t>Soocdaalka Gudaha</t>
  </si>
  <si>
    <t>2222`</t>
  </si>
  <si>
    <t>Telefoon</t>
  </si>
  <si>
    <t>Shidaalka</t>
  </si>
  <si>
    <t>Agabka iyo Alaabta Xafiisyada</t>
  </si>
  <si>
    <t>Cabitaanka iyo Cunooyinka Fudud</t>
  </si>
  <si>
    <t>Agabka Nadaafada</t>
  </si>
  <si>
    <t>Qalabka Kambuyuutarada</t>
  </si>
  <si>
    <t>Dayactirka Gadiidka Xamuulka</t>
  </si>
  <si>
    <t>Dayactirka Agabka Xafiisyada</t>
  </si>
  <si>
    <t>Dayactirka Baabuurta Socdalka</t>
  </si>
  <si>
    <t>Dayactirka Dhismaha</t>
  </si>
  <si>
    <t xml:space="preserve">Kiyooyinka Xafiisyada </t>
  </si>
  <si>
    <t>Kirada Goobta (Venue Rent)</t>
  </si>
  <si>
    <t>Xayeysiinta iyo Rukumashada</t>
  </si>
  <si>
    <t>Daabacaadaha</t>
  </si>
  <si>
    <t>Telefishinka iyo wargaysyada</t>
  </si>
  <si>
    <t>Rukumashada</t>
  </si>
  <si>
    <t>Qaanbaxa Agabka iyo Adeega</t>
  </si>
  <si>
    <t>Gunnada Shaqaalaha Kumeel Gaadh ka ah</t>
  </si>
  <si>
    <t>Socdaalka</t>
  </si>
  <si>
    <t>Khadka Internetka</t>
  </si>
  <si>
    <t>telefoonka</t>
  </si>
  <si>
    <t>Agabka iyo Allaabta xafiisyada</t>
  </si>
  <si>
    <t xml:space="preserve">Dayactirada </t>
  </si>
  <si>
    <t>Khidmada Bangiyada</t>
  </si>
  <si>
    <t>Kumushinka Bangiyada</t>
  </si>
  <si>
    <t>Lacag Celinta</t>
  </si>
  <si>
    <t>Kharashaadka Lama Filaanka ah</t>
  </si>
  <si>
    <t>Kharashaad Kale</t>
  </si>
  <si>
    <t>Mishiinada iyo Qalabka</t>
  </si>
  <si>
    <t xml:space="preserve">Gaadiidka Dhulka </t>
  </si>
  <si>
    <t>Kumbayuutarada iyo Qalabka Kale</t>
  </si>
  <si>
    <t>Kirada Goobaha (Venue Rent)</t>
  </si>
  <si>
    <t>Akoonka Kumeel Gaarka Ah</t>
  </si>
  <si>
    <t>Xalinta Khilaafaadka</t>
  </si>
  <si>
    <t>Alaabta xafiisyada (Stationary)</t>
  </si>
  <si>
    <t>Daabacaadaha (Printing &amp; Bidding)</t>
  </si>
  <si>
    <t>Mushahaarka Madaxda Sare</t>
  </si>
  <si>
    <t>Mushaharka Ciidanka</t>
  </si>
  <si>
    <t>Raashinka iyo Sahayda Joogtada ah</t>
  </si>
  <si>
    <t xml:space="preserve">Qaanbaxa </t>
  </si>
  <si>
    <t>Qaanbaxa</t>
  </si>
  <si>
    <t>Gunooyinka Ciidanka</t>
  </si>
  <si>
    <t>Mushaarka shaqaalaha Caafimaadka</t>
  </si>
  <si>
    <t>Agabka Caafimaadka</t>
  </si>
  <si>
    <t>Akoonka Hakinta</t>
  </si>
  <si>
    <t>Waxbarashada iyo Tabobaradda</t>
  </si>
  <si>
    <t>Mishiinada, Gaadiidka iyo Qalabka</t>
  </si>
  <si>
    <t xml:space="preserve"> Hantida Maguurtada Ah</t>
  </si>
  <si>
    <t>Kharashka Hantida Maguurtada Ah</t>
  </si>
  <si>
    <t>Miisaaniyadda
Sannadka 2027</t>
  </si>
  <si>
    <t>Qiyaas Bileedka 2027</t>
  </si>
  <si>
    <t>Qiyaas Bilaha 2027</t>
  </si>
  <si>
    <t>Miisaaniyadda Sannadka 2027</t>
  </si>
  <si>
    <t xml:space="preserve">Qiyaas Bileedka 2027 </t>
  </si>
  <si>
    <t>Qiyaas Bileed 2027</t>
  </si>
  <si>
    <t>Wasaaradda Tamarta, iyo Biyaha</t>
  </si>
  <si>
    <t>Mushahaarka Shaqaalaha</t>
  </si>
  <si>
    <t>Gunooyinka Shaqalaaha Caafimaadka</t>
  </si>
  <si>
    <t>Gunooyinka Macalimiinta</t>
  </si>
  <si>
    <t>Dhismayaasha Danta Guud</t>
  </si>
  <si>
    <t>Dhismayaasha</t>
  </si>
  <si>
    <t>Dhismaaysha  Danta Guud</t>
  </si>
  <si>
    <t xml:space="preserve">Dhismaaysha  </t>
  </si>
  <si>
    <t>*</t>
  </si>
  <si>
    <t xml:space="preserve">Kirooyinka Xafiisyada </t>
  </si>
  <si>
    <t>Agabka, Sahayda iyo Adeegyada Ciidanka</t>
  </si>
  <si>
    <t xml:space="preserve">Agab &amp; Sahay Ciidan </t>
  </si>
  <si>
    <t>Adeegyada Sirdoonka</t>
  </si>
  <si>
    <t>Hawlgallada Gaarka ah</t>
  </si>
  <si>
    <t>Agab &amp; Adeegyo Ciidan oo Kale</t>
  </si>
  <si>
    <t>Kharashaad kale</t>
  </si>
  <si>
    <t>Raashimada ciidanka</t>
  </si>
  <si>
    <t>Gunooyinka ciidanka</t>
  </si>
  <si>
    <t>Kharashaadka Caafimaadka</t>
  </si>
  <si>
    <t>Kharashaadka Kale ee Ciidanka</t>
  </si>
  <si>
    <t>Kharashka Waxbarashada Ardayda</t>
  </si>
  <si>
    <t>Kharashka Tababarada</t>
  </si>
  <si>
    <t>Hawl socodsiinta Gobolada iyo degmooyinka</t>
  </si>
  <si>
    <t>Adeegyada kale(xaabo, dhuxul iwm)</t>
  </si>
  <si>
    <t xml:space="preserve">Cashuurta Shirkadaha Ganacsiga </t>
  </si>
  <si>
    <t>Canshuuraha Dadweynaha  ee Mushaar Bixinta iyo Shaqaalaha</t>
  </si>
  <si>
    <t>Canshuuraha Kale Ee Faa'Iidada Dakhliga</t>
  </si>
  <si>
    <t>Canshuuraha Kale Ee Faa'Iidada</t>
  </si>
  <si>
    <t>Canshuuraha kale ee Faa'iidada Dakhliga iyo Faa'iidada Raasumaalka</t>
  </si>
  <si>
    <t>Canshuurta - Waxaha Qiimahooda Wax Lagu Kordhiyey</t>
  </si>
  <si>
    <t>Canshuurta - Saabuunta Iyo Alaabta Nadiifinta</t>
  </si>
  <si>
    <t>Canshuurta - Tubaakada Iyo Waxyaabaha Tubaakada Laga Sameeyo</t>
  </si>
  <si>
    <t>Canshuuraha Kale</t>
  </si>
  <si>
    <t>Cashuurta wax soosaarka (Exercise)</t>
  </si>
  <si>
    <t>Canshuurta - Isticmaala Wadada</t>
  </si>
  <si>
    <t>Cashuurka reebis (Witholding Taxes)</t>
  </si>
  <si>
    <t>Khidmadda Saxiixa (Signature Bonus)</t>
  </si>
  <si>
    <t>Canshuurta Furdooyinka Iyo Waajibaadka Kale Ee Soo Dajinta</t>
  </si>
  <si>
    <t>Canshuurta Maqaarka Iyo Alaabaha Maqaarka Laga Sameeyo</t>
  </si>
  <si>
    <t>Canshuurta Alaabooyinka Caagagga ah Iyo Kuwa Caagga Laga Sameeyo</t>
  </si>
  <si>
    <t>Canshuurta Alaabaha Kale Ee Soo Dejinta</t>
  </si>
  <si>
    <t>Canshuuraha Dhoofinta ee Dhammaan Canshuuraha Laga Qaado Badeecadaha Laga Dhoofiyo Dalka ama Adeegyada ay Siiyaan Dadka aan Daganeyn Dalka</t>
  </si>
  <si>
    <t>Canshuurta Alaabaha Kale Ee Dhoofinta</t>
  </si>
  <si>
    <t>Canshuuraha kale ee Lagu Bixiyo Ganacsiga oo keliya</t>
  </si>
  <si>
    <t>Kirada Dhismayaasha Dawladda</t>
  </si>
  <si>
    <t>Kirada baabuurta Dawladda</t>
  </si>
  <si>
    <t>Khidmada Ogolaansha Shaqada</t>
  </si>
  <si>
    <t>Khidmada Garoonka</t>
  </si>
  <si>
    <t>Khidmada Wadda-Dhigashada Gawaarida</t>
  </si>
  <si>
    <t>Khidmada Adeega</t>
  </si>
  <si>
    <t>Shatiga Macdanta iyo Sahaminta Xeebaha</t>
  </si>
  <si>
    <t>Shatiga Wadida Gaadiidka</t>
  </si>
  <si>
    <t>Khidmada Diiwaanka</t>
  </si>
  <si>
    <t>Khidmada Diiwangelinta Maamulka Wadooyinka</t>
  </si>
  <si>
    <t>Khidmada Shahaada Guurka</t>
  </si>
  <si>
    <t>Khidmada Shirkadaha Amniga</t>
  </si>
  <si>
    <t>Khidmaha Shirkadaha Isgaarsiinta</t>
  </si>
  <si>
    <t>Khidmadaha Shatiyada Kale</t>
  </si>
  <si>
    <t>Khidmada Warqadda Dembi La Aanta</t>
  </si>
  <si>
    <t>Luminta Dacwada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</si>
</sst>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-[$$-409]* #,##0.00_ ;_-[$$-409]* \-#,##0.00\ ;_-[$$-409]* &quot;-&quot;??_ ;_-@_ "/>
    <numFmt numFmtId="168" formatCode="_([$$-409]* #,##0.00_);_([$$-409]* \(#,##0.00\);_([$$-409]* &quot;-&quot;??_);_(@_)"/>
  </numFmts>
  <fonts count="50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Book Antiqua"/>
      <family val="1"/>
    </font>
    <font>
      <b/>
      <sz val="12"/>
      <color rgb="FF2E5395"/>
      <name val="Book Antiqua"/>
      <family val="1"/>
    </font>
    <font>
      <sz val="10"/>
      <color rgb="FF000000"/>
      <name val="Book Antiqua"/>
      <family val="1"/>
    </font>
    <font>
      <b/>
      <sz val="9.5"/>
      <name val="Book Antiqua"/>
      <family val="1"/>
    </font>
    <font>
      <b/>
      <sz val="9.5"/>
      <color rgb="FF000000"/>
      <name val="Book Antiqua"/>
      <family val="1"/>
    </font>
    <font>
      <b/>
      <sz val="8.5"/>
      <name val="Book Antiqua"/>
      <family val="1"/>
    </font>
    <font>
      <sz val="9.5"/>
      <color rgb="FF000000"/>
      <name val="Book Antiqua"/>
      <family val="1"/>
    </font>
    <font>
      <sz val="9.5"/>
      <name val="Book Antiqua"/>
      <family val="1"/>
    </font>
    <font>
      <b/>
      <sz val="8.5"/>
      <color rgb="FF000000"/>
      <name val="Book Antiqua"/>
      <family val="1"/>
    </font>
    <font>
      <sz val="8.5"/>
      <color rgb="FF000000"/>
      <name val="Book Antiqua"/>
      <family val="1"/>
    </font>
    <font>
      <sz val="8.5"/>
      <name val="Book Antiqua"/>
      <family val="1"/>
    </font>
    <font>
      <b/>
      <sz val="10"/>
      <color rgb="FF00000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9"/>
      <name val="Book Antiqua"/>
      <family val="1"/>
    </font>
    <font>
      <b/>
      <sz val="9"/>
      <color rgb="FF000000"/>
      <name val="Book Antiqua"/>
      <family val="1"/>
    </font>
    <font>
      <sz val="9"/>
      <color rgb="FF000000"/>
      <name val="Book Antiqua"/>
      <family val="1"/>
    </font>
    <font>
      <sz val="9"/>
      <name val="Book Antiqua"/>
      <family val="1"/>
    </font>
    <font>
      <b/>
      <sz val="11"/>
      <name val="Book Antiqua"/>
      <family val="1"/>
    </font>
    <font>
      <sz val="11"/>
      <color rgb="FF000000"/>
      <name val="Book Antiqua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Book Antiqua"/>
      <family val="1"/>
    </font>
    <font>
      <sz val="8"/>
      <name val="Times New Roman"/>
      <family val="1"/>
    </font>
    <font>
      <sz val="10"/>
      <color rgb="FF000000"/>
      <name val="Lato"/>
      <family val="2"/>
    </font>
    <font>
      <b/>
      <sz val="12"/>
      <color rgb="FF2E5395"/>
      <name val="Tahoma"/>
      <family val="2"/>
    </font>
    <font>
      <b/>
      <sz val="12"/>
      <name val="Lato"/>
      <family val="2"/>
    </font>
    <font>
      <b/>
      <sz val="10"/>
      <color rgb="FF000000"/>
      <name val="Lato"/>
      <family val="2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12"/>
      <name val="Book Antiqua"/>
      <family val="1"/>
    </font>
    <font>
      <sz val="10"/>
      <color rgb="FF000000"/>
      <name val="Times New Roman"/>
      <charset val="204"/>
    </font>
    <font>
      <b/>
      <sz val="20"/>
      <color rgb="FF2E5395"/>
      <name val="Tahoma"/>
      <family val="2"/>
    </font>
    <font>
      <sz val="20"/>
      <color rgb="FF000000"/>
      <name val="Times New Roman"/>
      <family val="1"/>
    </font>
    <font>
      <b/>
      <sz val="20"/>
      <name val="Book Antiqua"/>
      <family val="1"/>
    </font>
    <font>
      <sz val="20"/>
      <color rgb="FF000000"/>
      <name val="Book Antiqua"/>
      <family val="1"/>
    </font>
    <font>
      <sz val="20"/>
      <color theme="1"/>
      <name val="Calibri"/>
      <family val="2"/>
      <scheme val="minor"/>
    </font>
    <font>
      <b/>
      <sz val="20"/>
      <color rgb="FF000000"/>
      <name val="Book Antiqua"/>
      <family val="1"/>
    </font>
    <font>
      <b/>
      <sz val="20"/>
      <color rgb="FF000000"/>
      <name val="Times New Roman"/>
      <family val="1"/>
    </font>
    <font>
      <sz val="20"/>
      <name val="Times New Roman"/>
      <family val="1"/>
    </font>
    <font>
      <sz val="12"/>
      <color rgb="FF000000"/>
      <name val="Book Antiqua"/>
      <family val="1"/>
    </font>
    <font>
      <b/>
      <sz val="8"/>
      <name val="Book Antiqua"/>
      <family val="1"/>
    </font>
    <font>
      <sz val="9"/>
      <name val="Cambria"/>
      <family val="2"/>
      <scheme val="major"/>
    </font>
    <font>
      <b/>
      <sz val="8.5"/>
      <color theme="1"/>
      <name val="Book Antiqua"/>
      <family val="1"/>
    </font>
    <font>
      <sz val="8.5"/>
      <color theme="1"/>
      <name val="Book Antiqua"/>
      <family val="1"/>
    </font>
  </fonts>
  <fills count="17">
    <fill>
      <patternFill patternType="none"/>
    </fill>
    <fill>
      <patternFill patternType="gray125"/>
    </fill>
    <fill>
      <patternFill patternType="solid">
        <fgColor rgb="FF6FAC46"/>
      </patternFill>
    </fill>
    <fill>
      <patternFill patternType="solid">
        <fgColor rgb="FFFFFF00"/>
      </patternFill>
    </fill>
    <fill>
      <patternFill patternType="solid">
        <fgColor rgb="FF5B9BD4"/>
      </patternFill>
    </fill>
    <fill>
      <patternFill patternType="solid">
        <fgColor rgb="FFC8C8C8"/>
      </patternFill>
    </fill>
    <fill>
      <patternFill patternType="solid">
        <fgColor rgb="FF6FAC46"/>
        <bgColor indexed="64"/>
      </patternFill>
    </fill>
    <fill>
      <patternFill patternType="solid">
        <fgColor rgb="FF5B9BD4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1">
    <xf numFmtId="0" fontId="0" fillId="0" borderId="0"/>
    <xf numFmtId="164" fontId="4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0" fontId="2" fillId="0" borderId="0"/>
    <xf numFmtId="9" fontId="36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</cellStyleXfs>
  <cellXfs count="430">
    <xf numFmtId="0" fontId="0" fillId="0" borderId="0" xfId="0" applyAlignment="1">
      <alignment horizontal="left" vertical="top"/>
    </xf>
    <xf numFmtId="1" fontId="13" fillId="2" borderId="1" xfId="0" applyNumberFormat="1" applyFont="1" applyFill="1" applyBorder="1" applyAlignment="1">
      <alignment horizontal="center" vertical="center" shrinkToFit="1"/>
    </xf>
    <xf numFmtId="1" fontId="13" fillId="4" borderId="1" xfId="0" applyNumberFormat="1" applyFont="1" applyFill="1" applyBorder="1" applyAlignment="1">
      <alignment horizontal="center" vertical="center" shrinkToFit="1"/>
    </xf>
    <xf numFmtId="1" fontId="13" fillId="5" borderId="1" xfId="0" applyNumberFormat="1" applyFont="1" applyFill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10" fillId="4" borderId="1" xfId="0" applyFont="1" applyFill="1" applyBorder="1" applyAlignment="1">
      <alignment horizontal="left" vertical="center" wrapText="1"/>
    </xf>
    <xf numFmtId="164" fontId="13" fillId="4" borderId="1" xfId="1" applyFont="1" applyFill="1" applyBorder="1" applyAlignment="1">
      <alignment horizontal="left" vertical="center" shrinkToFit="1"/>
    </xf>
    <xf numFmtId="0" fontId="10" fillId="5" borderId="1" xfId="0" applyFont="1" applyFill="1" applyBorder="1" applyAlignment="1">
      <alignment horizontal="left" vertical="center" wrapText="1"/>
    </xf>
    <xf numFmtId="164" fontId="13" fillId="5" borderId="1" xfId="1" applyFont="1" applyFill="1" applyBorder="1" applyAlignment="1">
      <alignment horizontal="left" vertical="center" shrinkToFit="1"/>
    </xf>
    <xf numFmtId="0" fontId="10" fillId="2" borderId="1" xfId="0" applyFont="1" applyFill="1" applyBorder="1" applyAlignment="1">
      <alignment horizontal="left" vertical="center" wrapText="1"/>
    </xf>
    <xf numFmtId="164" fontId="13" fillId="2" borderId="1" xfId="1" applyFont="1" applyFill="1" applyBorder="1" applyAlignment="1">
      <alignment horizontal="left" vertical="center" shrinkToFit="1"/>
    </xf>
    <xf numFmtId="0" fontId="7" fillId="0" borderId="0" xfId="0" applyFont="1" applyAlignment="1">
      <alignment horizontal="left" vertical="center"/>
    </xf>
    <xf numFmtId="164" fontId="7" fillId="0" borderId="0" xfId="1" applyFont="1" applyAlignment="1">
      <alignment horizontal="left" vertical="center"/>
    </xf>
    <xf numFmtId="1" fontId="13" fillId="0" borderId="1" xfId="0" applyNumberFormat="1" applyFont="1" applyBorder="1" applyAlignment="1">
      <alignment horizontal="center" vertical="center" shrinkToFit="1"/>
    </xf>
    <xf numFmtId="0" fontId="10" fillId="9" borderId="1" xfId="0" applyFont="1" applyFill="1" applyBorder="1" applyAlignment="1">
      <alignment horizontal="right" vertical="center" wrapText="1"/>
    </xf>
    <xf numFmtId="164" fontId="13" fillId="9" borderId="1" xfId="1" applyFont="1" applyFill="1" applyBorder="1" applyAlignment="1">
      <alignment horizontal="left" vertical="center" shrinkToFit="1"/>
    </xf>
    <xf numFmtId="164" fontId="0" fillId="0" borderId="0" xfId="0" applyNumberFormat="1" applyAlignment="1">
      <alignment horizontal="left" vertical="top"/>
    </xf>
    <xf numFmtId="0" fontId="7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164" fontId="7" fillId="0" borderId="8" xfId="1" applyFont="1" applyBorder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26" fillId="0" borderId="7" xfId="0" applyFont="1" applyBorder="1" applyAlignment="1">
      <alignment horizontal="left" vertical="top"/>
    </xf>
    <xf numFmtId="166" fontId="27" fillId="9" borderId="7" xfId="2" applyNumberFormat="1" applyFont="1" applyFill="1" applyBorder="1" applyAlignment="1">
      <alignment vertical="center" shrinkToFit="1"/>
    </xf>
    <xf numFmtId="164" fontId="27" fillId="9" borderId="7" xfId="1" applyFont="1" applyFill="1" applyBorder="1" applyAlignment="1">
      <alignment horizontal="left" vertical="center" shrinkToFit="1"/>
    </xf>
    <xf numFmtId="166" fontId="27" fillId="4" borderId="7" xfId="2" applyNumberFormat="1" applyFont="1" applyFill="1" applyBorder="1" applyAlignment="1">
      <alignment vertical="center" shrinkToFit="1"/>
    </xf>
    <xf numFmtId="164" fontId="27" fillId="4" borderId="7" xfId="1" applyFont="1" applyFill="1" applyBorder="1" applyAlignment="1">
      <alignment horizontal="left" vertical="center" shrinkToFit="1"/>
    </xf>
    <xf numFmtId="166" fontId="27" fillId="5" borderId="7" xfId="2" applyNumberFormat="1" applyFont="1" applyFill="1" applyBorder="1" applyAlignment="1">
      <alignment vertical="center" shrinkToFit="1"/>
    </xf>
    <xf numFmtId="164" fontId="27" fillId="5" borderId="7" xfId="1" applyFont="1" applyFill="1" applyBorder="1" applyAlignment="1">
      <alignment horizontal="left" vertical="center" shrinkToFit="1"/>
    </xf>
    <xf numFmtId="166" fontId="27" fillId="2" borderId="7" xfId="2" applyNumberFormat="1" applyFont="1" applyFill="1" applyBorder="1" applyAlignment="1">
      <alignment vertical="center" shrinkToFit="1"/>
    </xf>
    <xf numFmtId="164" fontId="27" fillId="2" borderId="7" xfId="1" applyFont="1" applyFill="1" applyBorder="1" applyAlignment="1">
      <alignment horizontal="left" vertical="center" shrinkToFit="1"/>
    </xf>
    <xf numFmtId="0" fontId="27" fillId="9" borderId="7" xfId="2" applyNumberFormat="1" applyFont="1" applyFill="1" applyBorder="1" applyAlignment="1">
      <alignment horizontal="center" vertical="center" shrinkToFit="1"/>
    </xf>
    <xf numFmtId="0" fontId="27" fillId="4" borderId="7" xfId="2" applyNumberFormat="1" applyFont="1" applyFill="1" applyBorder="1" applyAlignment="1">
      <alignment horizontal="center" vertical="center" shrinkToFit="1"/>
    </xf>
    <xf numFmtId="0" fontId="27" fillId="5" borderId="7" xfId="2" applyNumberFormat="1" applyFont="1" applyFill="1" applyBorder="1" applyAlignment="1">
      <alignment horizontal="center" vertical="center" shrinkToFit="1"/>
    </xf>
    <xf numFmtId="0" fontId="27" fillId="2" borderId="7" xfId="2" applyNumberFormat="1" applyFont="1" applyFill="1" applyBorder="1" applyAlignment="1">
      <alignment horizontal="center" vertical="center" shrinkToFit="1"/>
    </xf>
    <xf numFmtId="166" fontId="27" fillId="0" borderId="7" xfId="2" applyNumberFormat="1" applyFont="1" applyFill="1" applyBorder="1" applyAlignment="1">
      <alignment vertical="center" shrinkToFit="1"/>
    </xf>
    <xf numFmtId="0" fontId="27" fillId="0" borderId="7" xfId="2" applyNumberFormat="1" applyFont="1" applyFill="1" applyBorder="1" applyAlignment="1">
      <alignment horizontal="center" vertical="center" shrinkToFit="1"/>
    </xf>
    <xf numFmtId="164" fontId="27" fillId="0" borderId="7" xfId="1" applyFont="1" applyFill="1" applyBorder="1" applyAlignment="1">
      <alignment horizontal="left" vertical="center" shrinkToFit="1"/>
    </xf>
    <xf numFmtId="1" fontId="27" fillId="9" borderId="7" xfId="1" applyNumberFormat="1" applyFont="1" applyFill="1" applyBorder="1" applyAlignment="1">
      <alignment horizontal="center" vertical="center" shrinkToFit="1"/>
    </xf>
    <xf numFmtId="1" fontId="27" fillId="4" borderId="7" xfId="1" applyNumberFormat="1" applyFont="1" applyFill="1" applyBorder="1" applyAlignment="1">
      <alignment horizontal="center" vertical="center" shrinkToFit="1"/>
    </xf>
    <xf numFmtId="1" fontId="27" fillId="5" borderId="7" xfId="1" applyNumberFormat="1" applyFont="1" applyFill="1" applyBorder="1" applyAlignment="1">
      <alignment horizontal="center" vertical="center" shrinkToFit="1"/>
    </xf>
    <xf numFmtId="1" fontId="27" fillId="2" borderId="7" xfId="1" applyNumberFormat="1" applyFont="1" applyFill="1" applyBorder="1" applyAlignment="1">
      <alignment horizontal="center" vertical="center" shrinkToFit="1"/>
    </xf>
    <xf numFmtId="1" fontId="27" fillId="0" borderId="7" xfId="1" applyNumberFormat="1" applyFont="1" applyFill="1" applyBorder="1" applyAlignment="1">
      <alignment horizontal="center" vertical="center" shrinkToFit="1"/>
    </xf>
    <xf numFmtId="0" fontId="7" fillId="0" borderId="0" xfId="3" applyFont="1" applyAlignment="1">
      <alignment horizontal="center" vertical="center"/>
    </xf>
    <xf numFmtId="0" fontId="7" fillId="0" borderId="0" xfId="3" applyFont="1" applyAlignment="1">
      <alignment horizontal="left" vertical="center"/>
    </xf>
    <xf numFmtId="0" fontId="4" fillId="0" borderId="0" xfId="3" applyAlignment="1">
      <alignment horizontal="left" vertical="top"/>
    </xf>
    <xf numFmtId="0" fontId="31" fillId="0" borderId="0" xfId="3" applyFont="1" applyAlignment="1">
      <alignment vertical="top" wrapText="1"/>
    </xf>
    <xf numFmtId="0" fontId="32" fillId="0" borderId="0" xfId="3" applyFont="1" applyAlignment="1">
      <alignment horizontal="left" vertical="top"/>
    </xf>
    <xf numFmtId="0" fontId="17" fillId="10" borderId="7" xfId="3" applyFont="1" applyFill="1" applyBorder="1" applyAlignment="1">
      <alignment horizontal="center" vertical="center"/>
    </xf>
    <xf numFmtId="0" fontId="17" fillId="10" borderId="7" xfId="3" applyFont="1" applyFill="1" applyBorder="1" applyAlignment="1">
      <alignment horizontal="center" vertical="center" wrapText="1"/>
    </xf>
    <xf numFmtId="0" fontId="33" fillId="0" borderId="0" xfId="3" applyFont="1" applyAlignment="1">
      <alignment horizontal="left" vertical="top"/>
    </xf>
    <xf numFmtId="164" fontId="13" fillId="2" borderId="7" xfId="1" applyFont="1" applyFill="1" applyBorder="1" applyAlignment="1">
      <alignment horizontal="left" vertical="center" shrinkToFit="1"/>
    </xf>
    <xf numFmtId="0" fontId="15" fillId="0" borderId="7" xfId="3" applyFont="1" applyBorder="1" applyAlignment="1">
      <alignment horizontal="left" vertical="center"/>
    </xf>
    <xf numFmtId="164" fontId="15" fillId="0" borderId="7" xfId="1" applyFont="1" applyBorder="1" applyAlignment="1">
      <alignment horizontal="left" wrapText="1"/>
    </xf>
    <xf numFmtId="164" fontId="14" fillId="0" borderId="7" xfId="1" applyFont="1" applyBorder="1" applyAlignment="1">
      <alignment horizontal="center" vertical="top" shrinkToFit="1"/>
    </xf>
    <xf numFmtId="0" fontId="34" fillId="0" borderId="0" xfId="3" applyFont="1" applyAlignment="1">
      <alignment horizontal="left" vertical="top"/>
    </xf>
    <xf numFmtId="0" fontId="14" fillId="0" borderId="7" xfId="3" applyFont="1" applyBorder="1" applyAlignment="1">
      <alignment horizontal="center" vertical="center"/>
    </xf>
    <xf numFmtId="0" fontId="14" fillId="0" borderId="7" xfId="3" applyFont="1" applyBorder="1" applyAlignment="1">
      <alignment horizontal="left" vertical="center"/>
    </xf>
    <xf numFmtId="164" fontId="16" fillId="9" borderId="1" xfId="1" applyFont="1" applyFill="1" applyBorder="1" applyAlignment="1">
      <alignment horizontal="left" vertical="center" shrinkToFit="1"/>
    </xf>
    <xf numFmtId="164" fontId="7" fillId="0" borderId="0" xfId="1" applyFont="1" applyAlignment="1">
      <alignment horizontal="left" vertical="top"/>
    </xf>
    <xf numFmtId="164" fontId="4" fillId="0" borderId="0" xfId="3" applyNumberFormat="1" applyAlignment="1">
      <alignment horizontal="left" vertical="top"/>
    </xf>
    <xf numFmtId="164" fontId="13" fillId="5" borderId="7" xfId="1" applyFont="1" applyFill="1" applyBorder="1" applyAlignment="1">
      <alignment horizontal="left" vertical="center" shrinkToFit="1"/>
    </xf>
    <xf numFmtId="164" fontId="35" fillId="11" borderId="1" xfId="5" applyFont="1" applyFill="1" applyBorder="1" applyAlignment="1">
      <alignment horizontal="left" vertical="center" shrinkToFit="1"/>
    </xf>
    <xf numFmtId="0" fontId="29" fillId="0" borderId="0" xfId="0" applyFont="1" applyAlignment="1">
      <alignment horizontal="left" vertical="top"/>
    </xf>
    <xf numFmtId="0" fontId="17" fillId="10" borderId="13" xfId="3" applyFont="1" applyFill="1" applyBorder="1" applyAlignment="1">
      <alignment horizontal="center" vertical="center"/>
    </xf>
    <xf numFmtId="0" fontId="17" fillId="10" borderId="13" xfId="3" applyFont="1" applyFill="1" applyBorder="1" applyAlignment="1">
      <alignment horizontal="center" vertical="center" wrapText="1"/>
    </xf>
    <xf numFmtId="164" fontId="17" fillId="10" borderId="13" xfId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64" fontId="13" fillId="0" borderId="1" xfId="1" applyFont="1" applyFill="1" applyBorder="1" applyAlignment="1">
      <alignment horizontal="left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3" fillId="0" borderId="7" xfId="0" applyNumberFormat="1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left" vertical="center" wrapText="1"/>
    </xf>
    <xf numFmtId="1" fontId="13" fillId="2" borderId="7" xfId="0" applyNumberFormat="1" applyFont="1" applyFill="1" applyBorder="1" applyAlignment="1">
      <alignment horizontal="center" vertical="center" shrinkToFit="1"/>
    </xf>
    <xf numFmtId="0" fontId="10" fillId="2" borderId="7" xfId="0" applyFont="1" applyFill="1" applyBorder="1" applyAlignment="1">
      <alignment horizontal="left" vertical="center" wrapText="1"/>
    </xf>
    <xf numFmtId="164" fontId="17" fillId="10" borderId="7" xfId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right" vertical="center" wrapText="1"/>
    </xf>
    <xf numFmtId="1" fontId="7" fillId="0" borderId="1" xfId="0" applyNumberFormat="1" applyFont="1" applyBorder="1" applyAlignment="1">
      <alignment horizontal="center" vertical="top" shrinkToFit="1"/>
    </xf>
    <xf numFmtId="0" fontId="18" fillId="0" borderId="7" xfId="3" applyFont="1" applyBorder="1" applyAlignment="1">
      <alignment horizontal="left" vertical="center"/>
    </xf>
    <xf numFmtId="164" fontId="7" fillId="0" borderId="7" xfId="1" applyFont="1" applyBorder="1"/>
    <xf numFmtId="0" fontId="24" fillId="0" borderId="0" xfId="3" applyFont="1" applyAlignment="1">
      <alignment horizontal="center" vertical="center"/>
    </xf>
    <xf numFmtId="0" fontId="24" fillId="0" borderId="0" xfId="3" applyFont="1" applyAlignment="1">
      <alignment horizontal="left" vertical="center"/>
    </xf>
    <xf numFmtId="164" fontId="24" fillId="0" borderId="0" xfId="1" applyFont="1" applyAlignment="1">
      <alignment horizontal="left" vertical="top"/>
    </xf>
    <xf numFmtId="1" fontId="13" fillId="5" borderId="7" xfId="0" applyNumberFormat="1" applyFont="1" applyFill="1" applyBorder="1" applyAlignment="1">
      <alignment horizontal="center" vertical="center" shrinkToFit="1"/>
    </xf>
    <xf numFmtId="0" fontId="10" fillId="5" borderId="7" xfId="0" applyFont="1" applyFill="1" applyBorder="1" applyAlignment="1">
      <alignment horizontal="left" vertical="center" wrapText="1"/>
    </xf>
    <xf numFmtId="43" fontId="4" fillId="0" borderId="0" xfId="3" applyNumberFormat="1" applyAlignment="1">
      <alignment horizontal="left" vertical="top"/>
    </xf>
    <xf numFmtId="165" fontId="4" fillId="0" borderId="0" xfId="2" applyFont="1" applyAlignment="1">
      <alignment horizontal="left" vertical="top"/>
    </xf>
    <xf numFmtId="167" fontId="15" fillId="0" borderId="7" xfId="1" applyNumberFormat="1" applyFont="1" applyBorder="1" applyAlignment="1">
      <alignment horizontal="left" wrapText="1"/>
    </xf>
    <xf numFmtId="165" fontId="4" fillId="0" borderId="0" xfId="3" applyNumberFormat="1" applyAlignment="1">
      <alignment horizontal="left" vertical="top"/>
    </xf>
    <xf numFmtId="167" fontId="4" fillId="0" borderId="0" xfId="3" applyNumberFormat="1" applyAlignment="1">
      <alignment horizontal="left" vertical="top"/>
    </xf>
    <xf numFmtId="164" fontId="14" fillId="0" borderId="1" xfId="1" applyFont="1" applyFill="1" applyBorder="1" applyAlignment="1">
      <alignment horizontal="left" vertical="center" shrinkToFit="1"/>
    </xf>
    <xf numFmtId="164" fontId="14" fillId="0" borderId="7" xfId="1" applyFont="1" applyFill="1" applyBorder="1" applyAlignment="1">
      <alignment horizontal="left" vertical="center" shrinkToFit="1"/>
    </xf>
    <xf numFmtId="1" fontId="13" fillId="13" borderId="1" xfId="0" applyNumberFormat="1" applyFont="1" applyFill="1" applyBorder="1" applyAlignment="1">
      <alignment horizontal="center" vertical="center" shrinkToFit="1"/>
    </xf>
    <xf numFmtId="0" fontId="10" fillId="13" borderId="1" xfId="0" applyFont="1" applyFill="1" applyBorder="1" applyAlignment="1">
      <alignment horizontal="left" vertical="center" wrapText="1"/>
    </xf>
    <xf numFmtId="164" fontId="13" fillId="13" borderId="0" xfId="1" applyFont="1" applyFill="1" applyBorder="1" applyAlignment="1">
      <alignment horizontal="left" vertical="center" shrinkToFit="1"/>
    </xf>
    <xf numFmtId="164" fontId="13" fillId="13" borderId="7" xfId="1" applyFont="1" applyFill="1" applyBorder="1" applyAlignment="1">
      <alignment horizontal="left" vertical="center" shrinkToFit="1"/>
    </xf>
    <xf numFmtId="164" fontId="7" fillId="0" borderId="1" xfId="1" applyFont="1" applyBorder="1" applyAlignment="1">
      <alignment vertical="top" shrinkToFit="1"/>
    </xf>
    <xf numFmtId="167" fontId="0" fillId="0" borderId="0" xfId="0" applyNumberFormat="1" applyAlignment="1">
      <alignment horizontal="left" vertical="top"/>
    </xf>
    <xf numFmtId="167" fontId="7" fillId="0" borderId="0" xfId="3" applyNumberFormat="1" applyFont="1" applyAlignment="1">
      <alignment horizontal="left" vertical="center"/>
    </xf>
    <xf numFmtId="167" fontId="7" fillId="0" borderId="0" xfId="1" applyNumberFormat="1" applyFont="1" applyAlignment="1">
      <alignment horizontal="left" vertical="top"/>
    </xf>
    <xf numFmtId="0" fontId="17" fillId="0" borderId="7" xfId="3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7" fillId="10" borderId="0" xfId="3" applyFont="1" applyFill="1" applyAlignment="1">
      <alignment horizontal="center" vertical="center"/>
    </xf>
    <xf numFmtId="0" fontId="4" fillId="10" borderId="0" xfId="3" applyFill="1" applyAlignment="1">
      <alignment horizontal="left" vertical="top"/>
    </xf>
    <xf numFmtId="167" fontId="7" fillId="10" borderId="0" xfId="1" applyNumberFormat="1" applyFont="1" applyFill="1" applyAlignment="1">
      <alignment horizontal="left" vertical="top"/>
    </xf>
    <xf numFmtId="0" fontId="4" fillId="14" borderId="0" xfId="3" applyFill="1" applyAlignment="1">
      <alignment horizontal="left" vertical="top"/>
    </xf>
    <xf numFmtId="167" fontId="7" fillId="14" borderId="0" xfId="1" applyNumberFormat="1" applyFont="1" applyFill="1" applyAlignment="1">
      <alignment horizontal="left" vertical="top"/>
    </xf>
    <xf numFmtId="0" fontId="33" fillId="0" borderId="0" xfId="3" applyFont="1" applyAlignment="1">
      <alignment horizontal="center" vertical="top"/>
    </xf>
    <xf numFmtId="167" fontId="24" fillId="0" borderId="0" xfId="3" applyNumberFormat="1" applyFont="1" applyAlignment="1">
      <alignment horizontal="left" vertical="center"/>
    </xf>
    <xf numFmtId="164" fontId="7" fillId="0" borderId="0" xfId="3" applyNumberFormat="1" applyFont="1" applyAlignment="1">
      <alignment horizontal="left" vertical="center"/>
    </xf>
    <xf numFmtId="164" fontId="16" fillId="0" borderId="0" xfId="1" applyFont="1" applyAlignment="1">
      <alignment horizontal="center" vertical="top"/>
    </xf>
    <xf numFmtId="0" fontId="5" fillId="0" borderId="0" xfId="0" applyFont="1" applyAlignment="1">
      <alignment horizontal="left" vertical="center" wrapText="1"/>
    </xf>
    <xf numFmtId="43" fontId="4" fillId="0" borderId="0" xfId="0" applyNumberFormat="1" applyFont="1" applyAlignment="1">
      <alignment horizontal="left" vertical="top"/>
    </xf>
    <xf numFmtId="43" fontId="0" fillId="0" borderId="0" xfId="0" applyNumberFormat="1" applyAlignment="1">
      <alignment horizontal="left" vertical="top"/>
    </xf>
    <xf numFmtId="165" fontId="0" fillId="0" borderId="0" xfId="2" applyFont="1" applyAlignment="1">
      <alignment horizontal="left" vertical="top"/>
    </xf>
    <xf numFmtId="0" fontId="38" fillId="0" borderId="0" xfId="4" applyFont="1" applyAlignment="1">
      <alignment horizontal="left" vertical="top"/>
    </xf>
    <xf numFmtId="0" fontId="40" fillId="0" borderId="0" xfId="4" applyFont="1" applyAlignment="1">
      <alignment horizontal="center" vertical="top"/>
    </xf>
    <xf numFmtId="0" fontId="40" fillId="0" borderId="0" xfId="4" applyFont="1" applyAlignment="1">
      <alignment horizontal="left" vertical="top"/>
    </xf>
    <xf numFmtId="164" fontId="42" fillId="0" borderId="0" xfId="4" applyNumberFormat="1" applyFont="1" applyAlignment="1">
      <alignment horizontal="right" vertical="top"/>
    </xf>
    <xf numFmtId="0" fontId="38" fillId="0" borderId="0" xfId="4" applyFont="1" applyAlignment="1">
      <alignment horizontal="center" vertical="top" wrapText="1"/>
    </xf>
    <xf numFmtId="0" fontId="38" fillId="0" borderId="0" xfId="4" applyFont="1" applyAlignment="1">
      <alignment horizontal="center" vertical="top"/>
    </xf>
    <xf numFmtId="0" fontId="43" fillId="0" borderId="0" xfId="4" applyFont="1" applyAlignment="1">
      <alignment horizontal="left" vertical="center"/>
    </xf>
    <xf numFmtId="0" fontId="44" fillId="0" borderId="0" xfId="4" applyFont="1" applyAlignment="1">
      <alignment horizontal="left" vertical="top"/>
    </xf>
    <xf numFmtId="0" fontId="43" fillId="0" borderId="0" xfId="4" applyFont="1" applyAlignment="1">
      <alignment horizontal="center" vertical="center"/>
    </xf>
    <xf numFmtId="164" fontId="40" fillId="0" borderId="0" xfId="4" applyNumberFormat="1" applyFont="1" applyAlignment="1">
      <alignment horizontal="left" vertical="top"/>
    </xf>
    <xf numFmtId="0" fontId="43" fillId="0" borderId="0" xfId="4" applyFont="1" applyAlignment="1">
      <alignment horizontal="right" vertical="top"/>
    </xf>
    <xf numFmtId="0" fontId="42" fillId="0" borderId="0" xfId="4" applyFont="1" applyAlignment="1">
      <alignment horizontal="left" vertical="top"/>
    </xf>
    <xf numFmtId="43" fontId="33" fillId="0" borderId="0" xfId="3" applyNumberFormat="1" applyFont="1" applyAlignment="1">
      <alignment horizontal="left" vertical="top"/>
    </xf>
    <xf numFmtId="9" fontId="0" fillId="0" borderId="0" xfId="8" applyFont="1" applyAlignment="1">
      <alignment horizontal="left" vertical="top"/>
    </xf>
    <xf numFmtId="4" fontId="4" fillId="0" borderId="0" xfId="3" applyNumberFormat="1" applyAlignment="1">
      <alignment horizontal="left" vertical="top"/>
    </xf>
    <xf numFmtId="0" fontId="5" fillId="2" borderId="13" xfId="0" applyFont="1" applyFill="1" applyBorder="1" applyAlignment="1">
      <alignment horizontal="center" vertical="center" wrapText="1"/>
    </xf>
    <xf numFmtId="1" fontId="45" fillId="0" borderId="7" xfId="4" applyNumberFormat="1" applyFont="1" applyBorder="1" applyAlignment="1">
      <alignment horizontal="center" vertical="top" shrinkToFit="1"/>
    </xf>
    <xf numFmtId="0" fontId="35" fillId="0" borderId="7" xfId="4" applyFont="1" applyBorder="1" applyAlignment="1">
      <alignment horizontal="left" vertical="top"/>
    </xf>
    <xf numFmtId="0" fontId="35" fillId="0" borderId="7" xfId="4" applyFont="1" applyBorder="1" applyAlignment="1">
      <alignment horizontal="left" vertical="center"/>
    </xf>
    <xf numFmtId="0" fontId="35" fillId="0" borderId="7" xfId="4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center" vertical="center" wrapText="1"/>
    </xf>
    <xf numFmtId="164" fontId="45" fillId="0" borderId="7" xfId="5" applyFont="1" applyBorder="1" applyAlignment="1">
      <alignment horizontal="left" vertical="top"/>
    </xf>
    <xf numFmtId="1" fontId="35" fillId="0" borderId="7" xfId="4" applyNumberFormat="1" applyFont="1" applyBorder="1" applyAlignment="1">
      <alignment horizontal="center" vertical="top" shrinkToFit="1"/>
    </xf>
    <xf numFmtId="0" fontId="5" fillId="12" borderId="7" xfId="4" applyFont="1" applyFill="1" applyBorder="1" applyAlignment="1">
      <alignment horizontal="center" vertical="top"/>
    </xf>
    <xf numFmtId="0" fontId="23" fillId="0" borderId="0" xfId="0" applyFont="1" applyAlignment="1">
      <alignment horizontal="center" vertical="top" wrapText="1"/>
    </xf>
    <xf numFmtId="164" fontId="15" fillId="0" borderId="7" xfId="5" applyFont="1" applyBorder="1" applyAlignment="1">
      <alignment horizontal="left" vertical="top"/>
    </xf>
    <xf numFmtId="164" fontId="38" fillId="0" borderId="0" xfId="4" applyNumberFormat="1" applyFont="1" applyAlignment="1">
      <alignment horizontal="left" vertical="top"/>
    </xf>
    <xf numFmtId="164" fontId="15" fillId="0" borderId="0" xfId="1" applyFont="1" applyBorder="1" applyAlignment="1">
      <alignment horizontal="left" wrapText="1"/>
    </xf>
    <xf numFmtId="165" fontId="38" fillId="0" borderId="0" xfId="4" applyNumberFormat="1" applyFont="1" applyAlignment="1">
      <alignment horizontal="left" vertical="top"/>
    </xf>
    <xf numFmtId="164" fontId="13" fillId="2" borderId="0" xfId="1" applyFont="1" applyFill="1" applyBorder="1" applyAlignment="1">
      <alignment horizontal="left" vertical="center" shrinkToFit="1"/>
    </xf>
    <xf numFmtId="0" fontId="30" fillId="0" borderId="0" xfId="3" applyFont="1" applyAlignment="1">
      <alignment horizontal="left" vertical="top" wrapText="1"/>
    </xf>
    <xf numFmtId="164" fontId="14" fillId="0" borderId="0" xfId="1" applyFont="1" applyBorder="1" applyAlignment="1">
      <alignment horizontal="center" vertical="top" shrinkToFit="1"/>
    </xf>
    <xf numFmtId="164" fontId="13" fillId="0" borderId="0" xfId="1" applyFont="1" applyFill="1" applyBorder="1" applyAlignment="1">
      <alignment horizontal="left" vertical="center" shrinkToFit="1"/>
    </xf>
    <xf numFmtId="164" fontId="13" fillId="9" borderId="2" xfId="1" applyFont="1" applyFill="1" applyBorder="1" applyAlignment="1">
      <alignment horizontal="left" vertical="center" shrinkToFit="1"/>
    </xf>
    <xf numFmtId="164" fontId="13" fillId="4" borderId="2" xfId="1" applyFont="1" applyFill="1" applyBorder="1" applyAlignment="1">
      <alignment horizontal="left" vertical="center" shrinkToFit="1"/>
    </xf>
    <xf numFmtId="164" fontId="14" fillId="11" borderId="2" xfId="1" applyFont="1" applyFill="1" applyBorder="1" applyAlignment="1">
      <alignment horizontal="left" vertical="center" shrinkToFit="1"/>
    </xf>
    <xf numFmtId="43" fontId="14" fillId="11" borderId="2" xfId="1" applyNumberFormat="1" applyFont="1" applyFill="1" applyBorder="1" applyAlignment="1">
      <alignment horizontal="left" vertical="center" shrinkToFit="1"/>
    </xf>
    <xf numFmtId="164" fontId="14" fillId="0" borderId="15" xfId="1" applyFont="1" applyBorder="1" applyAlignment="1">
      <alignment horizontal="center" vertical="top" shrinkToFit="1"/>
    </xf>
    <xf numFmtId="164" fontId="14" fillId="0" borderId="2" xfId="1" applyFont="1" applyFill="1" applyBorder="1" applyAlignment="1">
      <alignment horizontal="left" vertical="center" shrinkToFit="1"/>
    </xf>
    <xf numFmtId="164" fontId="14" fillId="0" borderId="15" xfId="1" applyFont="1" applyFill="1" applyBorder="1" applyAlignment="1">
      <alignment horizontal="left" vertical="center" shrinkToFit="1"/>
    </xf>
    <xf numFmtId="164" fontId="17" fillId="10" borderId="16" xfId="1" applyFont="1" applyFill="1" applyBorder="1" applyAlignment="1">
      <alignment horizontal="center" vertical="center" wrapText="1"/>
    </xf>
    <xf numFmtId="164" fontId="13" fillId="9" borderId="7" xfId="1" applyFont="1" applyFill="1" applyBorder="1" applyAlignment="1">
      <alignment horizontal="left" vertical="center" shrinkToFit="1"/>
    </xf>
    <xf numFmtId="164" fontId="14" fillId="11" borderId="7" xfId="1" applyFont="1" applyFill="1" applyBorder="1" applyAlignment="1">
      <alignment horizontal="left" vertical="center" shrinkToFit="1"/>
    </xf>
    <xf numFmtId="164" fontId="7" fillId="0" borderId="2" xfId="1" applyFont="1" applyBorder="1" applyAlignment="1">
      <alignment vertical="top" shrinkToFit="1"/>
    </xf>
    <xf numFmtId="164" fontId="7" fillId="11" borderId="7" xfId="1" applyFont="1" applyFill="1" applyBorder="1" applyAlignment="1">
      <alignment horizontal="left" vertical="center" shrinkToFit="1"/>
    </xf>
    <xf numFmtId="164" fontId="7" fillId="0" borderId="0" xfId="1" applyFont="1" applyBorder="1" applyAlignment="1">
      <alignment horizontal="left" vertical="center" wrapText="1"/>
    </xf>
    <xf numFmtId="165" fontId="0" fillId="0" borderId="0" xfId="9" applyFont="1" applyAlignment="1">
      <alignment horizontal="left" vertical="top"/>
    </xf>
    <xf numFmtId="165" fontId="4" fillId="0" borderId="0" xfId="9" applyFont="1" applyAlignment="1">
      <alignment horizontal="left" vertical="top"/>
    </xf>
    <xf numFmtId="0" fontId="41" fillId="0" borderId="0" xfId="10" applyFont="1"/>
    <xf numFmtId="43" fontId="38" fillId="0" borderId="0" xfId="4" applyNumberFormat="1" applyFont="1" applyAlignment="1">
      <alignment horizontal="left" vertical="top"/>
    </xf>
    <xf numFmtId="165" fontId="38" fillId="0" borderId="0" xfId="9" applyFont="1" applyAlignment="1">
      <alignment horizontal="left" vertical="top"/>
    </xf>
    <xf numFmtId="164" fontId="7" fillId="2" borderId="7" xfId="1" applyFont="1" applyFill="1" applyBorder="1" applyAlignment="1">
      <alignment horizontal="left" vertical="center" wrapText="1"/>
    </xf>
    <xf numFmtId="164" fontId="10" fillId="3" borderId="7" xfId="1" applyFont="1" applyFill="1" applyBorder="1" applyAlignment="1">
      <alignment horizontal="center" vertical="center" wrapText="1"/>
    </xf>
    <xf numFmtId="164" fontId="13" fillId="5" borderId="2" xfId="1" applyFont="1" applyFill="1" applyBorder="1" applyAlignment="1">
      <alignment horizontal="left" vertical="center" shrinkToFit="1"/>
    </xf>
    <xf numFmtId="164" fontId="14" fillId="0" borderId="2" xfId="1" applyFont="1" applyBorder="1" applyAlignment="1">
      <alignment horizontal="left" vertical="center" shrinkToFit="1"/>
    </xf>
    <xf numFmtId="164" fontId="13" fillId="4" borderId="7" xfId="1" applyFont="1" applyFill="1" applyBorder="1" applyAlignment="1">
      <alignment horizontal="left" vertical="center" shrinkToFit="1"/>
    </xf>
    <xf numFmtId="164" fontId="14" fillId="0" borderId="7" xfId="1" applyFont="1" applyBorder="1" applyAlignment="1">
      <alignment horizontal="left" vertical="center" shrinkToFit="1"/>
    </xf>
    <xf numFmtId="164" fontId="15" fillId="0" borderId="7" xfId="1" applyFont="1" applyBorder="1" applyAlignment="1">
      <alignment horizontal="left" vertical="center" wrapText="1"/>
    </xf>
    <xf numFmtId="164" fontId="10" fillId="0" borderId="7" xfId="1" applyFont="1" applyBorder="1" applyAlignment="1">
      <alignment horizontal="left" vertical="center" wrapText="1"/>
    </xf>
    <xf numFmtId="164" fontId="21" fillId="0" borderId="7" xfId="1" applyFont="1" applyBorder="1" applyAlignment="1">
      <alignment horizontal="left" vertical="center" shrinkToFit="1"/>
    </xf>
    <xf numFmtId="164" fontId="22" fillId="0" borderId="7" xfId="1" applyFont="1" applyBorder="1" applyAlignment="1">
      <alignment horizontal="left" vertical="center" wrapText="1"/>
    </xf>
    <xf numFmtId="164" fontId="10" fillId="3" borderId="7" xfId="1" applyFont="1" applyFill="1" applyBorder="1" applyAlignment="1">
      <alignment horizontal="center" vertical="top" wrapText="1"/>
    </xf>
    <xf numFmtId="0" fontId="23" fillId="0" borderId="0" xfId="0" applyFont="1" applyBorder="1" applyAlignment="1">
      <alignment horizontal="center" vertical="top" wrapText="1"/>
    </xf>
    <xf numFmtId="0" fontId="17" fillId="0" borderId="0" xfId="0" applyFont="1" applyBorder="1" applyAlignment="1">
      <alignment horizontal="center" vertical="top" wrapText="1"/>
    </xf>
    <xf numFmtId="0" fontId="30" fillId="0" borderId="0" xfId="3" applyFont="1" applyBorder="1" applyAlignment="1">
      <alignment horizontal="left" vertical="top" wrapText="1"/>
    </xf>
    <xf numFmtId="164" fontId="17" fillId="10" borderId="15" xfId="1" applyFont="1" applyFill="1" applyBorder="1" applyAlignment="1">
      <alignment horizontal="center" vertical="center" wrapText="1"/>
    </xf>
    <xf numFmtId="164" fontId="13" fillId="2" borderId="15" xfId="1" applyFont="1" applyFill="1" applyBorder="1" applyAlignment="1">
      <alignment horizontal="left" vertical="center" shrinkToFit="1"/>
    </xf>
    <xf numFmtId="164" fontId="15" fillId="0" borderId="15" xfId="1" applyFont="1" applyBorder="1" applyAlignment="1">
      <alignment horizontal="left" wrapText="1"/>
    </xf>
    <xf numFmtId="43" fontId="13" fillId="5" borderId="2" xfId="1" applyNumberFormat="1" applyFont="1" applyFill="1" applyBorder="1" applyAlignment="1">
      <alignment horizontal="left" vertical="center" shrinkToFit="1"/>
    </xf>
    <xf numFmtId="164" fontId="13" fillId="13" borderId="15" xfId="1" applyFont="1" applyFill="1" applyBorder="1" applyAlignment="1">
      <alignment horizontal="left" vertical="center" shrinkToFit="1"/>
    </xf>
    <xf numFmtId="164" fontId="13" fillId="5" borderId="15" xfId="1" applyFont="1" applyFill="1" applyBorder="1" applyAlignment="1">
      <alignment horizontal="left" vertical="center" shrinkToFit="1"/>
    </xf>
    <xf numFmtId="167" fontId="15" fillId="0" borderId="15" xfId="1" applyNumberFormat="1" applyFont="1" applyBorder="1" applyAlignment="1">
      <alignment horizontal="left" wrapText="1"/>
    </xf>
    <xf numFmtId="43" fontId="13" fillId="5" borderId="7" xfId="1" applyNumberFormat="1" applyFont="1" applyFill="1" applyBorder="1" applyAlignment="1">
      <alignment horizontal="left" vertical="center" shrinkToFit="1"/>
    </xf>
    <xf numFmtId="164" fontId="7" fillId="0" borderId="7" xfId="1" applyFont="1" applyBorder="1" applyAlignment="1">
      <alignment horizontal="left" vertical="top"/>
    </xf>
    <xf numFmtId="0" fontId="10" fillId="2" borderId="13" xfId="0" applyFont="1" applyFill="1" applyBorder="1" applyAlignment="1">
      <alignment horizontal="center" vertical="center" wrapText="1"/>
    </xf>
    <xf numFmtId="164" fontId="15" fillId="11" borderId="1" xfId="5" applyFont="1" applyFill="1" applyBorder="1" applyAlignment="1">
      <alignment horizontal="left" vertical="center" shrinkToFit="1"/>
    </xf>
    <xf numFmtId="164" fontId="10" fillId="11" borderId="1" xfId="5" applyFont="1" applyFill="1" applyBorder="1" applyAlignment="1">
      <alignment horizontal="left" vertical="center" shrinkToFit="1"/>
    </xf>
    <xf numFmtId="0" fontId="10" fillId="2" borderId="7" xfId="0" applyFont="1" applyFill="1" applyBorder="1" applyAlignment="1">
      <alignment horizontal="center" vertical="center" wrapText="1"/>
    </xf>
    <xf numFmtId="164" fontId="14" fillId="0" borderId="7" xfId="5" applyFont="1" applyBorder="1" applyAlignment="1">
      <alignment horizontal="left" vertical="top"/>
    </xf>
    <xf numFmtId="164" fontId="13" fillId="0" borderId="7" xfId="5" applyFont="1" applyBorder="1" applyAlignment="1">
      <alignment horizontal="left" vertical="top"/>
    </xf>
    <xf numFmtId="164" fontId="10" fillId="0" borderId="7" xfId="5" applyFont="1" applyBorder="1" applyAlignment="1">
      <alignment horizontal="left" vertical="top"/>
    </xf>
    <xf numFmtId="164" fontId="10" fillId="12" borderId="7" xfId="5" applyFont="1" applyFill="1" applyBorder="1" applyAlignment="1">
      <alignment horizontal="left" vertical="top"/>
    </xf>
    <xf numFmtId="164" fontId="14" fillId="0" borderId="7" xfId="1" applyFont="1" applyBorder="1" applyAlignment="1">
      <alignment horizontal="left" wrapText="1" shrinkToFit="1"/>
    </xf>
    <xf numFmtId="164" fontId="15" fillId="11" borderId="17" xfId="5" applyFont="1" applyFill="1" applyBorder="1" applyAlignment="1">
      <alignment horizontal="left" vertical="center" shrinkToFit="1"/>
    </xf>
    <xf numFmtId="164" fontId="10" fillId="11" borderId="17" xfId="5" applyFont="1" applyFill="1" applyBorder="1" applyAlignment="1">
      <alignment horizontal="left" vertical="center" shrinkToFit="1"/>
    </xf>
    <xf numFmtId="164" fontId="15" fillId="11" borderId="7" xfId="5" applyFont="1" applyFill="1" applyBorder="1" applyAlignment="1">
      <alignment horizontal="left" vertical="center" shrinkToFit="1"/>
    </xf>
    <xf numFmtId="164" fontId="10" fillId="11" borderId="7" xfId="5" applyFont="1" applyFill="1" applyBorder="1" applyAlignment="1">
      <alignment horizontal="left" vertical="center" shrinkToFit="1"/>
    </xf>
    <xf numFmtId="164" fontId="14" fillId="0" borderId="0" xfId="1" applyFont="1" applyBorder="1" applyAlignment="1">
      <alignment horizontal="left" vertical="center" shrinkToFit="1"/>
    </xf>
    <xf numFmtId="164" fontId="15" fillId="11" borderId="0" xfId="5" applyFont="1" applyFill="1" applyBorder="1" applyAlignment="1">
      <alignment horizontal="left" vertical="center" shrinkToFit="1"/>
    </xf>
    <xf numFmtId="164" fontId="15" fillId="11" borderId="0" xfId="5" applyFont="1" applyFill="1" applyBorder="1" applyAlignment="1">
      <alignment horizontal="left" vertical="top" shrinkToFit="1"/>
    </xf>
    <xf numFmtId="0" fontId="23" fillId="0" borderId="7" xfId="0" applyFont="1" applyBorder="1" applyAlignment="1">
      <alignment horizontal="center" vertical="top" wrapText="1"/>
    </xf>
    <xf numFmtId="164" fontId="16" fillId="9" borderId="2" xfId="1" applyFont="1" applyFill="1" applyBorder="1" applyAlignment="1">
      <alignment horizontal="left" vertical="center" shrinkToFit="1"/>
    </xf>
    <xf numFmtId="164" fontId="16" fillId="9" borderId="7" xfId="1" applyFont="1" applyFill="1" applyBorder="1" applyAlignment="1">
      <alignment horizontal="left" vertical="center" shrinkToFit="1"/>
    </xf>
    <xf numFmtId="1" fontId="7" fillId="0" borderId="2" xfId="0" applyNumberFormat="1" applyFont="1" applyBorder="1" applyAlignment="1">
      <alignment horizontal="center" vertical="top" shrinkToFit="1"/>
    </xf>
    <xf numFmtId="0" fontId="17" fillId="9" borderId="6" xfId="0" applyFont="1" applyFill="1" applyBorder="1" applyAlignment="1">
      <alignment horizontal="right" vertical="center" wrapText="1"/>
    </xf>
    <xf numFmtId="164" fontId="7" fillId="0" borderId="18" xfId="1" applyFont="1" applyBorder="1" applyAlignment="1">
      <alignment vertical="top" shrinkToFit="1"/>
    </xf>
    <xf numFmtId="164" fontId="16" fillId="9" borderId="6" xfId="1" applyFont="1" applyFill="1" applyBorder="1" applyAlignment="1">
      <alignment horizontal="left" vertical="center" shrinkToFit="1"/>
    </xf>
    <xf numFmtId="164" fontId="20" fillId="2" borderId="7" xfId="1" applyFont="1" applyFill="1" applyBorder="1" applyAlignment="1">
      <alignment horizontal="left" vertical="center" shrinkToFit="1"/>
    </xf>
    <xf numFmtId="164" fontId="35" fillId="11" borderId="0" xfId="5" applyFont="1" applyFill="1" applyBorder="1" applyAlignment="1">
      <alignment horizontal="left" vertical="center" shrinkToFit="1"/>
    </xf>
    <xf numFmtId="167" fontId="15" fillId="0" borderId="7" xfId="1" applyNumberFormat="1" applyFont="1" applyBorder="1" applyAlignment="1">
      <alignment horizontal="left" vertical="center" wrapText="1"/>
    </xf>
    <xf numFmtId="1" fontId="14" fillId="0" borderId="7" xfId="0" applyNumberFormat="1" applyFont="1" applyBorder="1" applyAlignment="1">
      <alignment horizontal="center" vertical="center" shrinkToFit="1"/>
    </xf>
    <xf numFmtId="0" fontId="15" fillId="0" borderId="7" xfId="0" applyFont="1" applyBorder="1" applyAlignment="1">
      <alignment horizontal="left" vertical="center" wrapText="1"/>
    </xf>
    <xf numFmtId="167" fontId="15" fillId="0" borderId="7" xfId="0" applyNumberFormat="1" applyFont="1" applyBorder="1" applyAlignment="1">
      <alignment horizontal="left" vertical="center" wrapText="1"/>
    </xf>
    <xf numFmtId="167" fontId="22" fillId="0" borderId="7" xfId="0" applyNumberFormat="1" applyFont="1" applyBorder="1" applyAlignment="1">
      <alignment horizontal="left" vertical="center" wrapText="1"/>
    </xf>
    <xf numFmtId="167" fontId="14" fillId="0" borderId="7" xfId="1" applyNumberFormat="1" applyFont="1" applyBorder="1" applyAlignment="1">
      <alignment horizontal="left" vertical="center" shrinkToFit="1"/>
    </xf>
    <xf numFmtId="167" fontId="13" fillId="2" borderId="7" xfId="1" applyNumberFormat="1" applyFont="1" applyFill="1" applyBorder="1" applyAlignment="1">
      <alignment horizontal="left" vertical="center" shrinkToFit="1"/>
    </xf>
    <xf numFmtId="167" fontId="13" fillId="5" borderId="7" xfId="1" applyNumberFormat="1" applyFont="1" applyFill="1" applyBorder="1" applyAlignment="1">
      <alignment horizontal="left" vertical="center" shrinkToFit="1"/>
    </xf>
    <xf numFmtId="167" fontId="13" fillId="4" borderId="7" xfId="1" applyNumberFormat="1" applyFont="1" applyFill="1" applyBorder="1" applyAlignment="1">
      <alignment horizontal="left" vertical="center" shrinkToFit="1"/>
    </xf>
    <xf numFmtId="1" fontId="13" fillId="3" borderId="7" xfId="0" applyNumberFormat="1" applyFont="1" applyFill="1" applyBorder="1" applyAlignment="1">
      <alignment horizontal="center" vertical="center" shrinkToFit="1"/>
    </xf>
    <xf numFmtId="0" fontId="5" fillId="9" borderId="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 wrapText="1"/>
    </xf>
    <xf numFmtId="1" fontId="13" fillId="4" borderId="7" xfId="0" applyNumberFormat="1" applyFont="1" applyFill="1" applyBorder="1" applyAlignment="1">
      <alignment horizontal="center" vertical="center" shrinkToFit="1"/>
    </xf>
    <xf numFmtId="0" fontId="10" fillId="4" borderId="7" xfId="0" applyFont="1" applyFill="1" applyBorder="1" applyAlignment="1">
      <alignment horizontal="left" vertical="center" wrapText="1"/>
    </xf>
    <xf numFmtId="1" fontId="20" fillId="2" borderId="7" xfId="0" applyNumberFormat="1" applyFont="1" applyFill="1" applyBorder="1" applyAlignment="1">
      <alignment horizontal="center" vertical="center" shrinkToFit="1"/>
    </xf>
    <xf numFmtId="0" fontId="19" fillId="2" borderId="7" xfId="0" applyFont="1" applyFill="1" applyBorder="1" applyAlignment="1">
      <alignment horizontal="center" vertical="center" wrapText="1"/>
    </xf>
    <xf numFmtId="1" fontId="21" fillId="0" borderId="7" xfId="0" applyNumberFormat="1" applyFont="1" applyBorder="1" applyAlignment="1">
      <alignment horizontal="center" vertical="center" shrinkToFit="1"/>
    </xf>
    <xf numFmtId="0" fontId="22" fillId="0" borderId="7" xfId="0" applyFont="1" applyBorder="1" applyAlignment="1">
      <alignment horizontal="left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 wrapText="1"/>
    </xf>
    <xf numFmtId="1" fontId="13" fillId="3" borderId="7" xfId="0" applyNumberFormat="1" applyFont="1" applyFill="1" applyBorder="1" applyAlignment="1">
      <alignment horizontal="center" vertical="top" wrapText="1" shrinkToFit="1"/>
    </xf>
    <xf numFmtId="164" fontId="10" fillId="3" borderId="7" xfId="1" applyFont="1" applyFill="1" applyBorder="1" applyAlignment="1">
      <alignment horizontal="center" wrapText="1"/>
    </xf>
    <xf numFmtId="0" fontId="10" fillId="9" borderId="7" xfId="0" applyFont="1" applyFill="1" applyBorder="1" applyAlignment="1">
      <alignment horizontal="center" wrapText="1"/>
    </xf>
    <xf numFmtId="164" fontId="13" fillId="9" borderId="7" xfId="1" applyFont="1" applyFill="1" applyBorder="1" applyAlignment="1">
      <alignment horizontal="left" wrapText="1" shrinkToFit="1"/>
    </xf>
    <xf numFmtId="1" fontId="13" fillId="4" borderId="7" xfId="0" applyNumberFormat="1" applyFont="1" applyFill="1" applyBorder="1" applyAlignment="1">
      <alignment horizontal="center" wrapText="1" shrinkToFit="1"/>
    </xf>
    <xf numFmtId="0" fontId="10" fillId="4" borderId="7" xfId="0" applyFont="1" applyFill="1" applyBorder="1" applyAlignment="1">
      <alignment horizontal="left" wrapText="1"/>
    </xf>
    <xf numFmtId="164" fontId="13" fillId="4" borderId="7" xfId="1" applyFont="1" applyFill="1" applyBorder="1" applyAlignment="1">
      <alignment horizontal="left" wrapText="1" shrinkToFit="1"/>
    </xf>
    <xf numFmtId="1" fontId="13" fillId="5" borderId="7" xfId="0" applyNumberFormat="1" applyFont="1" applyFill="1" applyBorder="1" applyAlignment="1">
      <alignment horizontal="center" wrapText="1" shrinkToFit="1"/>
    </xf>
    <xf numFmtId="0" fontId="10" fillId="5" borderId="7" xfId="0" applyFont="1" applyFill="1" applyBorder="1" applyAlignment="1">
      <alignment horizontal="left" wrapText="1"/>
    </xf>
    <xf numFmtId="164" fontId="13" fillId="5" borderId="7" xfId="1" applyFont="1" applyFill="1" applyBorder="1" applyAlignment="1">
      <alignment horizontal="left" wrapText="1" shrinkToFit="1"/>
    </xf>
    <xf numFmtId="1" fontId="13" fillId="2" borderId="7" xfId="0" applyNumberFormat="1" applyFont="1" applyFill="1" applyBorder="1" applyAlignment="1">
      <alignment horizontal="center" wrapText="1" shrinkToFit="1"/>
    </xf>
    <xf numFmtId="0" fontId="10" fillId="2" borderId="7" xfId="0" applyFont="1" applyFill="1" applyBorder="1" applyAlignment="1">
      <alignment horizontal="center" wrapText="1"/>
    </xf>
    <xf numFmtId="164" fontId="13" fillId="2" borderId="7" xfId="1" applyFont="1" applyFill="1" applyBorder="1" applyAlignment="1">
      <alignment horizontal="left" wrapText="1" shrinkToFit="1"/>
    </xf>
    <xf numFmtId="1" fontId="14" fillId="0" borderId="7" xfId="0" applyNumberFormat="1" applyFont="1" applyBorder="1" applyAlignment="1">
      <alignment horizontal="center" wrapText="1" shrinkToFit="1"/>
    </xf>
    <xf numFmtId="0" fontId="15" fillId="0" borderId="7" xfId="0" applyFont="1" applyBorder="1" applyAlignment="1">
      <alignment horizontal="left" wrapText="1"/>
    </xf>
    <xf numFmtId="164" fontId="14" fillId="0" borderId="7" xfId="1" applyFont="1" applyBorder="1" applyAlignment="1">
      <alignment horizontal="right" vertical="center" shrinkToFit="1"/>
    </xf>
    <xf numFmtId="164" fontId="13" fillId="11" borderId="7" xfId="1" applyFont="1" applyFill="1" applyBorder="1" applyAlignment="1">
      <alignment horizontal="left" vertical="center" shrinkToFit="1"/>
    </xf>
    <xf numFmtId="1" fontId="13" fillId="4" borderId="7" xfId="0" applyNumberFormat="1" applyFont="1" applyFill="1" applyBorder="1" applyAlignment="1">
      <alignment horizontal="center" vertical="center" wrapText="1" shrinkToFit="1"/>
    </xf>
    <xf numFmtId="1" fontId="13" fillId="5" borderId="7" xfId="0" applyNumberFormat="1" applyFont="1" applyFill="1" applyBorder="1" applyAlignment="1">
      <alignment horizontal="center" vertical="center" wrapText="1" shrinkToFit="1"/>
    </xf>
    <xf numFmtId="0" fontId="10" fillId="3" borderId="7" xfId="0" applyFont="1" applyFill="1" applyBorder="1" applyAlignment="1">
      <alignment horizontal="left" vertical="center" wrapText="1"/>
    </xf>
    <xf numFmtId="164" fontId="14" fillId="2" borderId="7" xfId="1" applyFont="1" applyFill="1" applyBorder="1" applyAlignment="1">
      <alignment horizontal="left" vertical="center" shrinkToFit="1"/>
    </xf>
    <xf numFmtId="0" fontId="10" fillId="4" borderId="7" xfId="0" applyFont="1" applyFill="1" applyBorder="1" applyAlignment="1">
      <alignment horizontal="center" vertical="center" wrapText="1"/>
    </xf>
    <xf numFmtId="164" fontId="13" fillId="4" borderId="7" xfId="1" applyFont="1" applyFill="1" applyBorder="1" applyAlignment="1">
      <alignment horizontal="right" vertical="center" shrinkToFit="1"/>
    </xf>
    <xf numFmtId="164" fontId="13" fillId="5" borderId="7" xfId="1" applyFont="1" applyFill="1" applyBorder="1" applyAlignment="1">
      <alignment horizontal="right" vertical="center" shrinkToFit="1"/>
    </xf>
    <xf numFmtId="0" fontId="10" fillId="10" borderId="7" xfId="0" applyFont="1" applyFill="1" applyBorder="1" applyAlignment="1">
      <alignment horizontal="center" vertical="center" wrapText="1"/>
    </xf>
    <xf numFmtId="1" fontId="13" fillId="9" borderId="7" xfId="0" applyNumberFormat="1" applyFont="1" applyFill="1" applyBorder="1" applyAlignment="1">
      <alignment horizontal="center" vertical="center" shrinkToFit="1"/>
    </xf>
    <xf numFmtId="164" fontId="14" fillId="9" borderId="7" xfId="1" applyFont="1" applyFill="1" applyBorder="1" applyAlignment="1">
      <alignment horizontal="center" vertical="center" wrapText="1"/>
    </xf>
    <xf numFmtId="1" fontId="13" fillId="16" borderId="7" xfId="0" applyNumberFormat="1" applyFont="1" applyFill="1" applyBorder="1" applyAlignment="1">
      <alignment horizontal="center" vertical="center" shrinkToFit="1"/>
    </xf>
    <xf numFmtId="0" fontId="10" fillId="16" borderId="7" xfId="0" applyFont="1" applyFill="1" applyBorder="1" applyAlignment="1">
      <alignment horizontal="left" vertical="center" wrapText="1"/>
    </xf>
    <xf numFmtId="164" fontId="10" fillId="16" borderId="7" xfId="1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/>
    </xf>
    <xf numFmtId="0" fontId="10" fillId="13" borderId="7" xfId="0" applyFont="1" applyFill="1" applyBorder="1" applyAlignment="1">
      <alignment horizontal="center" vertical="center" wrapText="1"/>
    </xf>
    <xf numFmtId="1" fontId="14" fillId="11" borderId="7" xfId="0" applyNumberFormat="1" applyFont="1" applyFill="1" applyBorder="1" applyAlignment="1">
      <alignment horizontal="center" vertical="center" shrinkToFit="1"/>
    </xf>
    <xf numFmtId="0" fontId="15" fillId="11" borderId="7" xfId="0" applyFont="1" applyFill="1" applyBorder="1" applyAlignment="1">
      <alignment horizontal="left" vertical="center" wrapText="1"/>
    </xf>
    <xf numFmtId="1" fontId="14" fillId="14" borderId="7" xfId="0" applyNumberFormat="1" applyFont="1" applyFill="1" applyBorder="1" applyAlignment="1">
      <alignment horizontal="center" vertical="center" shrinkToFit="1"/>
    </xf>
    <xf numFmtId="0" fontId="15" fillId="14" borderId="7" xfId="0" applyFont="1" applyFill="1" applyBorder="1" applyAlignment="1">
      <alignment horizontal="left" vertical="center" wrapText="1"/>
    </xf>
    <xf numFmtId="164" fontId="14" fillId="14" borderId="7" xfId="1" applyFont="1" applyFill="1" applyBorder="1" applyAlignment="1">
      <alignment horizontal="left" vertical="center" shrinkToFit="1"/>
    </xf>
    <xf numFmtId="1" fontId="13" fillId="15" borderId="7" xfId="0" applyNumberFormat="1" applyFont="1" applyFill="1" applyBorder="1" applyAlignment="1">
      <alignment horizontal="center" vertical="center" shrinkToFit="1"/>
    </xf>
    <xf numFmtId="0" fontId="10" fillId="15" borderId="7" xfId="0" applyFont="1" applyFill="1" applyBorder="1" applyAlignment="1">
      <alignment horizontal="center" vertical="center" wrapText="1"/>
    </xf>
    <xf numFmtId="164" fontId="13" fillId="15" borderId="7" xfId="1" applyFont="1" applyFill="1" applyBorder="1" applyAlignment="1">
      <alignment horizontal="left" vertical="center" shrinkToFit="1"/>
    </xf>
    <xf numFmtId="1" fontId="13" fillId="13" borderId="7" xfId="0" applyNumberFormat="1" applyFont="1" applyFill="1" applyBorder="1" applyAlignment="1">
      <alignment horizontal="center" vertical="center" shrinkToFit="1"/>
    </xf>
    <xf numFmtId="0" fontId="15" fillId="13" borderId="7" xfId="0" applyFont="1" applyFill="1" applyBorder="1" applyAlignment="1">
      <alignment horizontal="left" vertical="center" wrapText="1"/>
    </xf>
    <xf numFmtId="164" fontId="15" fillId="13" borderId="7" xfId="1" applyFont="1" applyFill="1" applyBorder="1" applyAlignment="1">
      <alignment horizontal="left" vertical="center" wrapText="1"/>
    </xf>
    <xf numFmtId="167" fontId="13" fillId="9" borderId="7" xfId="1" applyNumberFormat="1" applyFont="1" applyFill="1" applyBorder="1" applyAlignment="1">
      <alignment horizontal="left" vertical="center" shrinkToFit="1"/>
    </xf>
    <xf numFmtId="0" fontId="8" fillId="9" borderId="7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 wrapText="1"/>
    </xf>
    <xf numFmtId="164" fontId="9" fillId="9" borderId="7" xfId="1" applyFont="1" applyFill="1" applyBorder="1" applyAlignment="1">
      <alignment horizontal="left" vertical="center" shrinkToFit="1"/>
    </xf>
    <xf numFmtId="164" fontId="9" fillId="2" borderId="7" xfId="1" applyFont="1" applyFill="1" applyBorder="1" applyAlignment="1">
      <alignment horizontal="left" vertical="center" shrinkToFit="1"/>
    </xf>
    <xf numFmtId="1" fontId="13" fillId="3" borderId="7" xfId="0" applyNumberFormat="1" applyFont="1" applyFill="1" applyBorder="1" applyAlignment="1">
      <alignment horizontal="left" vertical="center" wrapText="1" shrinkToFit="1"/>
    </xf>
    <xf numFmtId="164" fontId="10" fillId="3" borderId="7" xfId="1" applyFont="1" applyFill="1" applyBorder="1" applyAlignment="1">
      <alignment horizontal="left" vertical="center" wrapText="1"/>
    </xf>
    <xf numFmtId="0" fontId="10" fillId="9" borderId="7" xfId="0" applyFont="1" applyFill="1" applyBorder="1" applyAlignment="1">
      <alignment horizontal="left" vertical="center" wrapText="1"/>
    </xf>
    <xf numFmtId="167" fontId="13" fillId="9" borderId="7" xfId="1" applyNumberFormat="1" applyFont="1" applyFill="1" applyBorder="1" applyAlignment="1">
      <alignment horizontal="left" vertical="center" wrapText="1" shrinkToFit="1"/>
    </xf>
    <xf numFmtId="1" fontId="13" fillId="4" borderId="7" xfId="0" applyNumberFormat="1" applyFont="1" applyFill="1" applyBorder="1" applyAlignment="1">
      <alignment horizontal="left" vertical="center" wrapText="1" shrinkToFit="1"/>
    </xf>
    <xf numFmtId="167" fontId="13" fillId="4" borderId="7" xfId="1" applyNumberFormat="1" applyFont="1" applyFill="1" applyBorder="1" applyAlignment="1">
      <alignment horizontal="left" vertical="center" wrapText="1" shrinkToFit="1"/>
    </xf>
    <xf numFmtId="1" fontId="13" fillId="5" borderId="7" xfId="0" applyNumberFormat="1" applyFont="1" applyFill="1" applyBorder="1" applyAlignment="1">
      <alignment horizontal="left" vertical="center" wrapText="1" shrinkToFit="1"/>
    </xf>
    <xf numFmtId="167" fontId="13" fillId="5" borderId="7" xfId="1" applyNumberFormat="1" applyFont="1" applyFill="1" applyBorder="1" applyAlignment="1">
      <alignment horizontal="left" vertical="center" wrapText="1" shrinkToFit="1"/>
    </xf>
    <xf numFmtId="1" fontId="13" fillId="2" borderId="7" xfId="0" applyNumberFormat="1" applyFont="1" applyFill="1" applyBorder="1" applyAlignment="1">
      <alignment horizontal="left" vertical="center" wrapText="1" shrinkToFit="1"/>
    </xf>
    <xf numFmtId="167" fontId="13" fillId="2" borderId="7" xfId="1" applyNumberFormat="1" applyFont="1" applyFill="1" applyBorder="1" applyAlignment="1">
      <alignment horizontal="left" vertical="center" wrapText="1" shrinkToFit="1"/>
    </xf>
    <xf numFmtId="1" fontId="14" fillId="0" borderId="7" xfId="0" applyNumberFormat="1" applyFont="1" applyBorder="1" applyAlignment="1">
      <alignment horizontal="left" vertical="center" wrapText="1" shrinkToFit="1"/>
    </xf>
    <xf numFmtId="167" fontId="14" fillId="0" borderId="7" xfId="1" applyNumberFormat="1" applyFont="1" applyBorder="1" applyAlignment="1">
      <alignment horizontal="left" vertical="center" wrapText="1" shrinkToFit="1"/>
    </xf>
    <xf numFmtId="1" fontId="20" fillId="3" borderId="7" xfId="0" applyNumberFormat="1" applyFont="1" applyFill="1" applyBorder="1" applyAlignment="1">
      <alignment horizontal="center" vertical="center" shrinkToFit="1"/>
    </xf>
    <xf numFmtId="0" fontId="19" fillId="3" borderId="7" xfId="0" applyFont="1" applyFill="1" applyBorder="1" applyAlignment="1">
      <alignment horizontal="left" vertical="center" wrapText="1"/>
    </xf>
    <xf numFmtId="1" fontId="20" fillId="4" borderId="7" xfId="0" applyNumberFormat="1" applyFont="1" applyFill="1" applyBorder="1" applyAlignment="1">
      <alignment horizontal="center" vertical="center" shrinkToFit="1"/>
    </xf>
    <xf numFmtId="0" fontId="19" fillId="4" borderId="7" xfId="0" applyFont="1" applyFill="1" applyBorder="1" applyAlignment="1">
      <alignment horizontal="left" vertical="center" wrapText="1"/>
    </xf>
    <xf numFmtId="164" fontId="20" fillId="4" borderId="7" xfId="1" applyFont="1" applyFill="1" applyBorder="1" applyAlignment="1">
      <alignment horizontal="left" vertical="center" shrinkToFit="1"/>
    </xf>
    <xf numFmtId="1" fontId="20" fillId="5" borderId="7" xfId="0" applyNumberFormat="1" applyFont="1" applyFill="1" applyBorder="1" applyAlignment="1">
      <alignment horizontal="center" vertical="center" shrinkToFit="1"/>
    </xf>
    <xf numFmtId="0" fontId="19" fillId="5" borderId="7" xfId="0" applyFont="1" applyFill="1" applyBorder="1" applyAlignment="1">
      <alignment horizontal="left" vertical="center" wrapText="1"/>
    </xf>
    <xf numFmtId="164" fontId="19" fillId="5" borderId="7" xfId="1" applyFont="1" applyFill="1" applyBorder="1" applyAlignment="1">
      <alignment horizontal="left" vertical="center" wrapText="1"/>
    </xf>
    <xf numFmtId="164" fontId="19" fillId="2" borderId="7" xfId="1" applyFont="1" applyFill="1" applyBorder="1" applyAlignment="1">
      <alignment horizontal="left" vertical="center" wrapText="1"/>
    </xf>
    <xf numFmtId="164" fontId="20" fillId="5" borderId="7" xfId="1" applyFont="1" applyFill="1" applyBorder="1" applyAlignment="1">
      <alignment horizontal="left" vertical="center" shrinkToFit="1"/>
    </xf>
    <xf numFmtId="164" fontId="7" fillId="0" borderId="7" xfId="1" applyFont="1" applyBorder="1" applyAlignment="1">
      <alignment horizontal="left" vertical="center"/>
    </xf>
    <xf numFmtId="0" fontId="13" fillId="7" borderId="7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left" vertical="center"/>
    </xf>
    <xf numFmtId="164" fontId="13" fillId="7" borderId="7" xfId="1" applyFont="1" applyFill="1" applyBorder="1" applyAlignment="1">
      <alignment horizontal="left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left" vertical="center"/>
    </xf>
    <xf numFmtId="164" fontId="13" fillId="8" borderId="7" xfId="1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164" fontId="14" fillId="0" borderId="7" xfId="1" applyFont="1" applyBorder="1" applyAlignment="1">
      <alignment horizontal="left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/>
    </xf>
    <xf numFmtId="164" fontId="9" fillId="7" borderId="7" xfId="1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164" fontId="9" fillId="8" borderId="7" xfId="1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164" fontId="11" fillId="0" borderId="7" xfId="1" applyFont="1" applyBorder="1" applyAlignment="1">
      <alignment horizontal="left" vertical="center"/>
    </xf>
    <xf numFmtId="1" fontId="9" fillId="3" borderId="7" xfId="0" applyNumberFormat="1" applyFont="1" applyFill="1" applyBorder="1" applyAlignment="1">
      <alignment horizontal="center" vertical="center" shrinkToFit="1"/>
    </xf>
    <xf numFmtId="164" fontId="10" fillId="3" borderId="7" xfId="5" applyFont="1" applyFill="1" applyBorder="1" applyAlignment="1">
      <alignment horizontal="center" vertical="center" wrapText="1"/>
    </xf>
    <xf numFmtId="1" fontId="9" fillId="4" borderId="7" xfId="0" applyNumberFormat="1" applyFont="1" applyFill="1" applyBorder="1" applyAlignment="1">
      <alignment horizontal="center" vertical="center" shrinkToFit="1"/>
    </xf>
    <xf numFmtId="0" fontId="8" fillId="4" borderId="7" xfId="0" applyFont="1" applyFill="1" applyBorder="1" applyAlignment="1">
      <alignment horizontal="left" vertical="center" wrapText="1"/>
    </xf>
    <xf numFmtId="164" fontId="9" fillId="4" borderId="7" xfId="1" applyFont="1" applyFill="1" applyBorder="1" applyAlignment="1">
      <alignment horizontal="left" vertical="center" shrinkToFit="1"/>
    </xf>
    <xf numFmtId="1" fontId="9" fillId="5" borderId="7" xfId="0" applyNumberFormat="1" applyFont="1" applyFill="1" applyBorder="1" applyAlignment="1">
      <alignment horizontal="center" vertical="center" shrinkToFit="1"/>
    </xf>
    <xf numFmtId="0" fontId="8" fillId="5" borderId="7" xfId="0" applyFont="1" applyFill="1" applyBorder="1" applyAlignment="1">
      <alignment horizontal="left" vertical="center" wrapText="1"/>
    </xf>
    <xf numFmtId="164" fontId="9" fillId="5" borderId="7" xfId="1" applyFont="1" applyFill="1" applyBorder="1" applyAlignment="1">
      <alignment horizontal="left" vertical="center" shrinkToFit="1"/>
    </xf>
    <xf numFmtId="1" fontId="9" fillId="2" borderId="7" xfId="0" applyNumberFormat="1" applyFont="1" applyFill="1" applyBorder="1" applyAlignment="1">
      <alignment horizontal="center" vertical="center" shrinkToFit="1"/>
    </xf>
    <xf numFmtId="0" fontId="8" fillId="2" borderId="7" xfId="0" applyFont="1" applyFill="1" applyBorder="1" applyAlignment="1">
      <alignment horizontal="left" vertical="center" wrapText="1"/>
    </xf>
    <xf numFmtId="1" fontId="11" fillId="0" borderId="7" xfId="0" applyNumberFormat="1" applyFont="1" applyBorder="1" applyAlignment="1">
      <alignment horizontal="center" vertical="center" shrinkToFit="1"/>
    </xf>
    <xf numFmtId="0" fontId="12" fillId="0" borderId="7" xfId="0" applyFont="1" applyBorder="1" applyAlignment="1">
      <alignment horizontal="left" vertical="center" wrapText="1"/>
    </xf>
    <xf numFmtId="164" fontId="11" fillId="0" borderId="7" xfId="1" applyFont="1" applyBorder="1" applyAlignment="1">
      <alignment horizontal="left" vertical="center" shrinkToFit="1"/>
    </xf>
    <xf numFmtId="0" fontId="8" fillId="2" borderId="7" xfId="0" applyFont="1" applyFill="1" applyBorder="1" applyAlignment="1">
      <alignment horizontal="center" vertical="center" wrapText="1"/>
    </xf>
    <xf numFmtId="164" fontId="12" fillId="0" borderId="7" xfId="1" applyFont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167" fontId="8" fillId="9" borderId="7" xfId="0" applyNumberFormat="1" applyFont="1" applyFill="1" applyBorder="1" applyAlignment="1">
      <alignment horizontal="right" vertical="center" wrapText="1"/>
    </xf>
    <xf numFmtId="167" fontId="19" fillId="4" borderId="7" xfId="0" applyNumberFormat="1" applyFont="1" applyFill="1" applyBorder="1" applyAlignment="1">
      <alignment horizontal="left" vertical="center" wrapText="1"/>
    </xf>
    <xf numFmtId="167" fontId="19" fillId="5" borderId="7" xfId="0" applyNumberFormat="1" applyFont="1" applyFill="1" applyBorder="1" applyAlignment="1">
      <alignment horizontal="left" vertical="center" wrapText="1"/>
    </xf>
    <xf numFmtId="167" fontId="19" fillId="2" borderId="7" xfId="0" applyNumberFormat="1" applyFont="1" applyFill="1" applyBorder="1" applyAlignment="1">
      <alignment horizontal="center" vertical="center" wrapText="1"/>
    </xf>
    <xf numFmtId="167" fontId="10" fillId="4" borderId="7" xfId="0" applyNumberFormat="1" applyFont="1" applyFill="1" applyBorder="1" applyAlignment="1">
      <alignment horizontal="left" vertical="center" wrapText="1"/>
    </xf>
    <xf numFmtId="167" fontId="10" fillId="5" borderId="7" xfId="0" applyNumberFormat="1" applyFont="1" applyFill="1" applyBorder="1" applyAlignment="1">
      <alignment horizontal="left" vertical="center" wrapText="1"/>
    </xf>
    <xf numFmtId="167" fontId="10" fillId="2" borderId="7" xfId="0" applyNumberFormat="1" applyFont="1" applyFill="1" applyBorder="1" applyAlignment="1">
      <alignment horizontal="center" vertical="center" wrapText="1"/>
    </xf>
    <xf numFmtId="164" fontId="20" fillId="4" borderId="7" xfId="5" applyFont="1" applyFill="1" applyBorder="1" applyAlignment="1">
      <alignment horizontal="left" vertical="center" shrinkToFit="1"/>
    </xf>
    <xf numFmtId="164" fontId="20" fillId="5" borderId="7" xfId="5" applyFont="1" applyFill="1" applyBorder="1" applyAlignment="1">
      <alignment horizontal="left" vertical="center" shrinkToFit="1"/>
    </xf>
    <xf numFmtId="164" fontId="9" fillId="2" borderId="7" xfId="5" applyFont="1" applyFill="1" applyBorder="1" applyAlignment="1">
      <alignment horizontal="left" vertical="center" shrinkToFit="1"/>
    </xf>
    <xf numFmtId="164" fontId="21" fillId="0" borderId="7" xfId="5" applyFont="1" applyBorder="1" applyAlignment="1">
      <alignment horizontal="left" vertical="center" shrinkToFit="1"/>
    </xf>
    <xf numFmtId="164" fontId="22" fillId="0" borderId="7" xfId="5" applyFont="1" applyBorder="1" applyAlignment="1">
      <alignment horizontal="left" vertical="center" wrapText="1"/>
    </xf>
    <xf numFmtId="164" fontId="35" fillId="11" borderId="7" xfId="5" applyFont="1" applyFill="1" applyBorder="1" applyAlignment="1">
      <alignment horizontal="left" vertical="center" shrinkToFit="1"/>
    </xf>
    <xf numFmtId="164" fontId="10" fillId="2" borderId="7" xfId="1" applyFont="1" applyFill="1" applyBorder="1" applyAlignment="1">
      <alignment horizontal="left" vertical="center" wrapText="1"/>
    </xf>
    <xf numFmtId="164" fontId="10" fillId="3" borderId="7" xfId="5" applyFont="1" applyFill="1" applyBorder="1" applyAlignment="1">
      <alignment horizontal="left" vertical="center" wrapText="1"/>
    </xf>
    <xf numFmtId="0" fontId="10" fillId="3" borderId="7" xfId="0" applyFont="1" applyFill="1" applyBorder="1" applyAlignment="1">
      <alignment horizontal="left" vertical="top" wrapText="1"/>
    </xf>
    <xf numFmtId="0" fontId="10" fillId="10" borderId="7" xfId="0" applyFont="1" applyFill="1" applyBorder="1" applyAlignment="1">
      <alignment horizontal="left" vertical="center" wrapText="1"/>
    </xf>
    <xf numFmtId="164" fontId="10" fillId="4" borderId="7" xfId="0" applyNumberFormat="1" applyFont="1" applyFill="1" applyBorder="1" applyAlignment="1">
      <alignment horizontal="left" vertical="center" wrapText="1"/>
    </xf>
    <xf numFmtId="164" fontId="10" fillId="2" borderId="7" xfId="0" applyNumberFormat="1" applyFont="1" applyFill="1" applyBorder="1" applyAlignment="1">
      <alignment horizontal="center" vertical="center" wrapText="1"/>
    </xf>
    <xf numFmtId="43" fontId="10" fillId="5" borderId="7" xfId="0" applyNumberFormat="1" applyFont="1" applyFill="1" applyBorder="1" applyAlignment="1">
      <alignment horizontal="left" vertical="center" wrapText="1"/>
    </xf>
    <xf numFmtId="0" fontId="47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top"/>
    </xf>
    <xf numFmtId="167" fontId="8" fillId="9" borderId="7" xfId="0" applyNumberFormat="1" applyFont="1" applyFill="1" applyBorder="1" applyAlignment="1">
      <alignment horizontal="left" vertical="top" wrapText="1"/>
    </xf>
    <xf numFmtId="167" fontId="8" fillId="9" borderId="7" xfId="0" applyNumberFormat="1" applyFont="1" applyFill="1" applyBorder="1" applyAlignment="1">
      <alignment horizontal="left" vertical="center" wrapText="1"/>
    </xf>
    <xf numFmtId="167" fontId="10" fillId="9" borderId="7" xfId="0" applyNumberFormat="1" applyFont="1" applyFill="1" applyBorder="1" applyAlignment="1">
      <alignment horizontal="left" vertical="center" wrapText="1"/>
    </xf>
    <xf numFmtId="0" fontId="0" fillId="0" borderId="7" xfId="0" applyBorder="1"/>
    <xf numFmtId="168" fontId="27" fillId="9" borderId="7" xfId="1" applyNumberFormat="1" applyFont="1" applyFill="1" applyBorder="1" applyAlignment="1">
      <alignment horizontal="center" vertical="center" shrinkToFit="1"/>
    </xf>
    <xf numFmtId="168" fontId="13" fillId="4" borderId="7" xfId="1" applyNumberFormat="1" applyFont="1" applyFill="1" applyBorder="1" applyAlignment="1">
      <alignment horizontal="center" vertical="center" shrinkToFit="1"/>
    </xf>
    <xf numFmtId="168" fontId="13" fillId="5" borderId="7" xfId="1" applyNumberFormat="1" applyFont="1" applyFill="1" applyBorder="1" applyAlignment="1">
      <alignment horizontal="center" vertical="center" shrinkToFit="1"/>
    </xf>
    <xf numFmtId="168" fontId="20" fillId="2" borderId="7" xfId="1" applyNumberFormat="1" applyFont="1" applyFill="1" applyBorder="1" applyAlignment="1">
      <alignment horizontal="center" vertical="center" shrinkToFit="1"/>
    </xf>
    <xf numFmtId="168" fontId="21" fillId="0" borderId="7" xfId="1" applyNumberFormat="1" applyFont="1" applyBorder="1" applyAlignment="1">
      <alignment horizontal="center" vertical="center" shrinkToFit="1"/>
    </xf>
    <xf numFmtId="168" fontId="13" fillId="2" borderId="7" xfId="1" applyNumberFormat="1" applyFont="1" applyFill="1" applyBorder="1" applyAlignment="1">
      <alignment horizontal="center" vertical="center" shrinkToFit="1"/>
    </xf>
    <xf numFmtId="168" fontId="14" fillId="0" borderId="7" xfId="1" applyNumberFormat="1" applyFont="1" applyBorder="1" applyAlignment="1">
      <alignment horizontal="center" vertical="center" shrinkToFit="1"/>
    </xf>
    <xf numFmtId="168" fontId="0" fillId="0" borderId="7" xfId="0" applyNumberFormat="1" applyBorder="1" applyAlignment="1">
      <alignment horizontal="center" vertical="top"/>
    </xf>
    <xf numFmtId="0" fontId="15" fillId="0" borderId="0" xfId="3" applyFont="1" applyBorder="1" applyAlignment="1">
      <alignment horizontal="left" vertical="center"/>
    </xf>
    <xf numFmtId="164" fontId="13" fillId="11" borderId="0" xfId="1" applyFont="1" applyFill="1" applyBorder="1" applyAlignment="1">
      <alignment horizontal="left" vertical="center" shrinkToFit="1"/>
    </xf>
    <xf numFmtId="1" fontId="49" fillId="11" borderId="1" xfId="0" applyNumberFormat="1" applyFont="1" applyFill="1" applyBorder="1" applyAlignment="1">
      <alignment horizontal="center" vertical="center" shrinkToFit="1"/>
    </xf>
    <xf numFmtId="0" fontId="49" fillId="11" borderId="1" xfId="0" applyFont="1" applyFill="1" applyBorder="1" applyAlignment="1">
      <alignment horizontal="left" vertical="center" wrapText="1"/>
    </xf>
    <xf numFmtId="164" fontId="13" fillId="11" borderId="15" xfId="1" applyFont="1" applyFill="1" applyBorder="1" applyAlignment="1">
      <alignment horizontal="left" vertical="center" shrinkToFit="1"/>
    </xf>
    <xf numFmtId="1" fontId="14" fillId="11" borderId="1" xfId="0" applyNumberFormat="1" applyFont="1" applyFill="1" applyBorder="1" applyAlignment="1">
      <alignment horizontal="center" vertical="center" shrinkToFit="1"/>
    </xf>
    <xf numFmtId="0" fontId="15" fillId="11" borderId="0" xfId="0" applyFont="1" applyFill="1" applyBorder="1" applyAlignment="1">
      <alignment horizontal="left" vertical="center" wrapText="1"/>
    </xf>
    <xf numFmtId="164" fontId="13" fillId="2" borderId="2" xfId="1" applyFont="1" applyFill="1" applyBorder="1" applyAlignment="1">
      <alignment horizontal="left" vertical="center" shrinkToFit="1"/>
    </xf>
    <xf numFmtId="164" fontId="13" fillId="2" borderId="17" xfId="1" applyFont="1" applyFill="1" applyBorder="1" applyAlignment="1">
      <alignment horizontal="left" vertical="center" shrinkToFit="1"/>
    </xf>
    <xf numFmtId="164" fontId="13" fillId="2" borderId="19" xfId="1" applyFont="1" applyFill="1" applyBorder="1" applyAlignment="1">
      <alignment horizontal="left" vertical="center" shrinkToFit="1"/>
    </xf>
    <xf numFmtId="164" fontId="13" fillId="2" borderId="20" xfId="1" applyFont="1" applyFill="1" applyBorder="1" applyAlignment="1">
      <alignment horizontal="left" vertical="center" shrinkToFit="1"/>
    </xf>
    <xf numFmtId="164" fontId="13" fillId="2" borderId="6" xfId="1" applyFont="1" applyFill="1" applyBorder="1" applyAlignment="1">
      <alignment horizontal="left" vertical="center" shrinkToFit="1"/>
    </xf>
    <xf numFmtId="164" fontId="13" fillId="2" borderId="21" xfId="1" applyFont="1" applyFill="1" applyBorder="1" applyAlignment="1">
      <alignment horizontal="left" vertical="center" shrinkToFit="1"/>
    </xf>
    <xf numFmtId="164" fontId="13" fillId="2" borderId="13" xfId="1" applyFont="1" applyFill="1" applyBorder="1" applyAlignment="1">
      <alignment horizontal="left" vertical="center" shrinkToFit="1"/>
    </xf>
    <xf numFmtId="1" fontId="14" fillId="0" borderId="2" xfId="0" applyNumberFormat="1" applyFont="1" applyBorder="1" applyAlignment="1">
      <alignment horizontal="center" vertical="center" shrinkToFit="1"/>
    </xf>
    <xf numFmtId="1" fontId="13" fillId="2" borderId="2" xfId="0" applyNumberFormat="1" applyFont="1" applyFill="1" applyBorder="1" applyAlignment="1">
      <alignment horizontal="center" vertical="center" shrinkToFit="1"/>
    </xf>
    <xf numFmtId="0" fontId="15" fillId="0" borderId="22" xfId="3" applyFont="1" applyBorder="1" applyAlignment="1">
      <alignment horizontal="left" vertical="center"/>
    </xf>
    <xf numFmtId="164" fontId="15" fillId="0" borderId="22" xfId="1" applyFont="1" applyBorder="1" applyAlignment="1">
      <alignment horizontal="left" wrapText="1"/>
    </xf>
    <xf numFmtId="164" fontId="13" fillId="2" borderId="18" xfId="1" applyFont="1" applyFill="1" applyBorder="1" applyAlignment="1">
      <alignment horizontal="left" vertical="center" shrinkToFit="1"/>
    </xf>
    <xf numFmtId="0" fontId="10" fillId="2" borderId="17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left" vertical="center" wrapText="1"/>
    </xf>
    <xf numFmtId="164" fontId="13" fillId="5" borderId="6" xfId="1" applyFont="1" applyFill="1" applyBorder="1" applyAlignment="1">
      <alignment horizontal="left" vertical="center" shrinkToFit="1"/>
    </xf>
    <xf numFmtId="164" fontId="13" fillId="5" borderId="23" xfId="1" applyFont="1" applyFill="1" applyBorder="1" applyAlignment="1">
      <alignment horizontal="left" vertical="center" shrinkToFit="1"/>
    </xf>
    <xf numFmtId="164" fontId="13" fillId="5" borderId="13" xfId="1" applyFont="1" applyFill="1" applyBorder="1" applyAlignment="1">
      <alignment horizontal="left" vertical="center" shrinkToFit="1"/>
    </xf>
    <xf numFmtId="164" fontId="48" fillId="11" borderId="2" xfId="1" applyFont="1" applyFill="1" applyBorder="1" applyAlignment="1">
      <alignment horizontal="left" vertical="center" shrinkToFit="1"/>
    </xf>
    <xf numFmtId="0" fontId="4" fillId="0" borderId="7" xfId="3" applyBorder="1" applyAlignment="1">
      <alignment horizontal="left" vertical="top"/>
    </xf>
    <xf numFmtId="0" fontId="14" fillId="0" borderId="0" xfId="3" applyFont="1" applyBorder="1" applyAlignment="1">
      <alignment horizontal="center" vertical="center"/>
    </xf>
    <xf numFmtId="0" fontId="14" fillId="0" borderId="0" xfId="3" applyFont="1" applyBorder="1" applyAlignment="1">
      <alignment horizontal="left" vertical="center"/>
    </xf>
    <xf numFmtId="167" fontId="15" fillId="0" borderId="0" xfId="1" applyNumberFormat="1" applyFont="1" applyBorder="1" applyAlignment="1">
      <alignment horizontal="left" wrapText="1"/>
    </xf>
    <xf numFmtId="0" fontId="23" fillId="0" borderId="7" xfId="0" applyFont="1" applyBorder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23" fillId="0" borderId="8" xfId="0" applyFont="1" applyBorder="1" applyAlignment="1">
      <alignment horizontal="center" vertical="top" wrapText="1"/>
    </xf>
    <xf numFmtId="0" fontId="30" fillId="0" borderId="8" xfId="3" applyFont="1" applyBorder="1" applyAlignment="1">
      <alignment horizontal="left" vertical="top" wrapText="1"/>
    </xf>
    <xf numFmtId="0" fontId="23" fillId="0" borderId="9" xfId="0" applyFont="1" applyBorder="1" applyAlignment="1">
      <alignment horizontal="center" vertical="top" wrapText="1"/>
    </xf>
    <xf numFmtId="164" fontId="23" fillId="0" borderId="9" xfId="1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17" fillId="0" borderId="11" xfId="0" applyFont="1" applyBorder="1" applyAlignment="1">
      <alignment horizontal="center" vertical="top" wrapText="1"/>
    </xf>
    <xf numFmtId="164" fontId="17" fillId="0" borderId="11" xfId="1" applyFont="1" applyBorder="1" applyAlignment="1">
      <alignment horizontal="center" vertical="top" wrapText="1"/>
    </xf>
    <xf numFmtId="0" fontId="17" fillId="0" borderId="12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164" fontId="17" fillId="0" borderId="4" xfId="1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30" fillId="0" borderId="14" xfId="3" applyFont="1" applyBorder="1" applyAlignment="1">
      <alignment horizontal="left" vertical="top" wrapText="1"/>
    </xf>
    <xf numFmtId="164" fontId="30" fillId="0" borderId="14" xfId="1" applyFont="1" applyBorder="1" applyAlignment="1">
      <alignment horizontal="left" vertical="top" wrapText="1"/>
    </xf>
    <xf numFmtId="0" fontId="37" fillId="0" borderId="0" xfId="4" applyFont="1" applyAlignment="1">
      <alignment horizontal="center" vertical="center" wrapText="1"/>
    </xf>
    <xf numFmtId="0" fontId="39" fillId="0" borderId="0" xfId="4" applyFont="1" applyAlignment="1">
      <alignment horizontal="center" vertical="center" wrapText="1"/>
    </xf>
    <xf numFmtId="0" fontId="30" fillId="0" borderId="8" xfId="4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4" fontId="10" fillId="2" borderId="7" xfId="1" applyFont="1" applyFill="1" applyBorder="1" applyAlignment="1">
      <alignment horizontal="center" vertical="center" wrapText="1"/>
    </xf>
    <xf numFmtId="164" fontId="46" fillId="2" borderId="7" xfId="1" applyFont="1" applyFill="1" applyBorder="1" applyAlignment="1">
      <alignment horizontal="left" vertical="center" wrapText="1"/>
    </xf>
    <xf numFmtId="164" fontId="10" fillId="10" borderId="7" xfId="1" applyFont="1" applyFill="1" applyBorder="1" applyAlignment="1">
      <alignment horizontal="center" vertical="center" wrapText="1"/>
    </xf>
  </cellXfs>
  <cellStyles count="11">
    <cellStyle name="Comma" xfId="2" builtinId="3"/>
    <cellStyle name="Comma 2" xfId="9"/>
    <cellStyle name="Currency" xfId="1" builtinId="4"/>
    <cellStyle name="Currency 2 2" xfId="5"/>
    <cellStyle name="Normal" xfId="0" builtinId="0"/>
    <cellStyle name="Normal 2" xfId="3"/>
    <cellStyle name="Normal 2 2" xfId="4"/>
    <cellStyle name="Normal 3" xfId="6"/>
    <cellStyle name="Normal 3 2" xfId="7"/>
    <cellStyle name="Normal 3 2 2" xfId="10"/>
    <cellStyle name="Percent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G303"/>
  <sheetViews>
    <sheetView topLeftCell="A4" zoomScale="130" zoomScaleNormal="85" workbookViewId="0">
      <selection activeCell="D98" sqref="D98"/>
    </sheetView>
  </sheetViews>
  <sheetFormatPr defaultColWidth="8.81640625" defaultRowHeight="12.9"/>
  <cols>
    <col min="1" max="1" width="7.1796875" style="44" customWidth="1"/>
    <col min="2" max="2" width="45.7265625" style="45" customWidth="1"/>
    <col min="3" max="3" width="22.26953125" style="60" bestFit="1" customWidth="1"/>
    <col min="4" max="4" width="22" style="60" bestFit="1" customWidth="1"/>
    <col min="5" max="5" width="19.7265625" style="60" customWidth="1"/>
    <col min="6" max="6" width="20" style="46" customWidth="1"/>
    <col min="7" max="7" width="20" style="46" bestFit="1" customWidth="1"/>
    <col min="8" max="16384" width="8.81640625" style="46"/>
  </cols>
  <sheetData>
    <row r="1" spans="1:7" s="64" customFormat="1" ht="16.5" customHeight="1">
      <c r="A1" s="407" t="s">
        <v>284</v>
      </c>
      <c r="B1" s="407"/>
      <c r="C1" s="407"/>
      <c r="D1" s="407"/>
      <c r="E1" s="141"/>
    </row>
    <row r="2" spans="1:7" s="64" customFormat="1" ht="14.25" customHeight="1">
      <c r="A2" s="407" t="s">
        <v>283</v>
      </c>
      <c r="B2" s="407"/>
      <c r="C2" s="407"/>
      <c r="D2" s="407"/>
      <c r="E2" s="141"/>
    </row>
    <row r="3" spans="1:7" s="64" customFormat="1" ht="14.25" customHeight="1">
      <c r="A3" s="407" t="s">
        <v>285</v>
      </c>
      <c r="B3" s="407"/>
      <c r="C3" s="407"/>
      <c r="D3" s="407"/>
      <c r="E3" s="141"/>
    </row>
    <row r="4" spans="1:7" s="64" customFormat="1" ht="14.25" customHeight="1">
      <c r="A4" s="408" t="s">
        <v>81</v>
      </c>
      <c r="B4" s="408"/>
      <c r="C4" s="408"/>
      <c r="D4" s="408"/>
      <c r="E4" s="141"/>
    </row>
    <row r="5" spans="1:7">
      <c r="C5"/>
    </row>
    <row r="6" spans="1:7" s="48" customFormat="1" ht="15" customHeight="1">
      <c r="A6" s="409" t="s">
        <v>275</v>
      </c>
      <c r="B6" s="409"/>
      <c r="C6" s="409"/>
      <c r="D6" s="409"/>
      <c r="E6" s="147"/>
      <c r="F6" s="47"/>
    </row>
    <row r="7" spans="1:7" ht="25.75">
      <c r="A7" s="65" t="s">
        <v>2</v>
      </c>
      <c r="B7" s="66" t="s">
        <v>82</v>
      </c>
      <c r="C7" s="67" t="s">
        <v>84</v>
      </c>
      <c r="D7" s="67" t="s">
        <v>260</v>
      </c>
      <c r="E7" s="157" t="s">
        <v>276</v>
      </c>
    </row>
    <row r="8" spans="1:7" s="51" customFormat="1">
      <c r="A8" s="68">
        <v>1</v>
      </c>
      <c r="B8" s="68" t="s">
        <v>85</v>
      </c>
      <c r="C8" s="17">
        <v>19812240</v>
      </c>
      <c r="D8" s="150">
        <f>D9+D97+D101+D114</f>
        <v>16222526.312220167</v>
      </c>
      <c r="E8" s="158">
        <f>D8/12</f>
        <v>1351877.1926850139</v>
      </c>
      <c r="F8" s="115"/>
    </row>
    <row r="9" spans="1:7" s="51" customFormat="1">
      <c r="A9" s="2">
        <v>11</v>
      </c>
      <c r="B9" s="7" t="s">
        <v>86</v>
      </c>
      <c r="C9" s="8">
        <v>7422240</v>
      </c>
      <c r="D9" s="151">
        <f>D10+D18+D21+D29+D59+D90</f>
        <v>5039444.71834125</v>
      </c>
      <c r="E9" s="151">
        <f t="shared" ref="E9:E10" si="0">D9/12</f>
        <v>419953.72652843752</v>
      </c>
      <c r="F9" s="163"/>
      <c r="G9" s="129"/>
    </row>
    <row r="10" spans="1:7" s="51" customFormat="1">
      <c r="A10" s="15">
        <v>111</v>
      </c>
      <c r="B10" s="69" t="s">
        <v>87</v>
      </c>
      <c r="C10" s="92">
        <v>672000</v>
      </c>
      <c r="D10" s="152">
        <v>528522.46378125006</v>
      </c>
      <c r="E10" s="159">
        <f t="shared" si="0"/>
        <v>44043.538648437505</v>
      </c>
      <c r="F10" s="130"/>
    </row>
    <row r="11" spans="1:7" s="51" customFormat="1" hidden="1">
      <c r="A11" s="1">
        <v>1111</v>
      </c>
      <c r="B11" s="11" t="s">
        <v>88</v>
      </c>
      <c r="C11" s="12">
        <v>516000</v>
      </c>
      <c r="D11" s="52">
        <v>43000</v>
      </c>
      <c r="E11" s="146"/>
      <c r="F11" t="e" cm="1">
        <f t="array" aca="1" ref="F11" ca="1">ColorNumber(D11)</f>
        <v>#NAME?</v>
      </c>
    </row>
    <row r="12" spans="1:7" hidden="1">
      <c r="A12" s="4">
        <v>111101</v>
      </c>
      <c r="B12" s="53" t="s">
        <v>89</v>
      </c>
      <c r="C12" s="54">
        <v>360000</v>
      </c>
      <c r="D12" s="54">
        <v>30000</v>
      </c>
      <c r="E12" s="144"/>
      <c r="F12" t="e" cm="1">
        <f t="array" aca="1" ref="F12" ca="1">ColorNumber(D12)</f>
        <v>#NAME?</v>
      </c>
    </row>
    <row r="13" spans="1:7" hidden="1">
      <c r="A13" s="4">
        <v>111102</v>
      </c>
      <c r="B13" s="53" t="s">
        <v>90</v>
      </c>
      <c r="C13" s="54">
        <v>120000</v>
      </c>
      <c r="D13" s="54">
        <v>10000</v>
      </c>
      <c r="E13" s="144"/>
      <c r="F13" t="e" cm="1">
        <f t="array" aca="1" ref="F13" ca="1">ColorNumber(D13)</f>
        <v>#NAME?</v>
      </c>
    </row>
    <row r="14" spans="1:7" hidden="1">
      <c r="A14" s="4">
        <v>111103</v>
      </c>
      <c r="B14" s="53" t="s">
        <v>91</v>
      </c>
      <c r="C14" s="54">
        <v>36000</v>
      </c>
      <c r="D14" s="54">
        <v>3000</v>
      </c>
      <c r="E14" s="144"/>
      <c r="F14" t="e" cm="1">
        <f t="array" aca="1" ref="F14" ca="1">ColorNumber(D14)</f>
        <v>#NAME?</v>
      </c>
    </row>
    <row r="15" spans="1:7" s="51" customFormat="1" hidden="1">
      <c r="A15" s="1">
        <v>1112</v>
      </c>
      <c r="B15" s="11" t="s">
        <v>92</v>
      </c>
      <c r="C15" s="12">
        <v>156000</v>
      </c>
      <c r="D15" s="52">
        <v>13000</v>
      </c>
      <c r="E15" s="146"/>
      <c r="F15" t="e" cm="1">
        <f t="array" aca="1" ref="F15" ca="1">ColorNumber(D15)</f>
        <v>#NAME?</v>
      </c>
    </row>
    <row r="16" spans="1:7" hidden="1">
      <c r="A16" s="4">
        <v>111201</v>
      </c>
      <c r="B16" s="53" t="s">
        <v>93</v>
      </c>
      <c r="C16" s="54">
        <v>144000</v>
      </c>
      <c r="D16" s="54">
        <v>12000</v>
      </c>
      <c r="E16" s="144"/>
      <c r="F16" t="e" cm="1">
        <f t="array" aca="1" ref="F16" ca="1">ColorNumber(D16)</f>
        <v>#NAME?</v>
      </c>
    </row>
    <row r="17" spans="1:6" hidden="1">
      <c r="A17" s="4">
        <v>111203</v>
      </c>
      <c r="B17" s="53" t="s">
        <v>94</v>
      </c>
      <c r="C17" s="54">
        <v>12000</v>
      </c>
      <c r="D17" s="54">
        <v>1000</v>
      </c>
      <c r="E17" s="144"/>
      <c r="F17" t="e" cm="1">
        <f t="array" aca="1" ref="F17" ca="1">ColorNumber(D17)</f>
        <v>#NAME?</v>
      </c>
    </row>
    <row r="18" spans="1:6" s="51" customFormat="1">
      <c r="A18" s="15">
        <v>112</v>
      </c>
      <c r="B18" s="69" t="s">
        <v>95</v>
      </c>
      <c r="C18" s="92">
        <v>409800</v>
      </c>
      <c r="D18" s="152">
        <v>290002.984</v>
      </c>
      <c r="E18" s="159">
        <f>D18/12</f>
        <v>24166.915333333334</v>
      </c>
      <c r="F18" s="130"/>
    </row>
    <row r="19" spans="1:6" s="51" customFormat="1" hidden="1">
      <c r="A19" s="1">
        <v>1121</v>
      </c>
      <c r="B19" s="11" t="s">
        <v>96</v>
      </c>
      <c r="C19" s="12">
        <v>24000</v>
      </c>
      <c r="D19" s="52">
        <v>2000</v>
      </c>
      <c r="E19" s="146"/>
      <c r="F19" t="e" cm="1">
        <f t="array" aca="1" ref="F19" ca="1">ColorNumber(D19)</f>
        <v>#NAME?</v>
      </c>
    </row>
    <row r="20" spans="1:6" hidden="1">
      <c r="A20" s="4">
        <v>112101</v>
      </c>
      <c r="B20" s="53" t="s">
        <v>221</v>
      </c>
      <c r="C20" s="54">
        <v>24000</v>
      </c>
      <c r="D20" s="54">
        <v>2000</v>
      </c>
      <c r="E20" s="144"/>
      <c r="F20" t="e" cm="1">
        <f t="array" aca="1" ref="F20" ca="1">ColorNumber(D20)</f>
        <v>#NAME?</v>
      </c>
    </row>
    <row r="21" spans="1:6">
      <c r="A21" s="15">
        <v>113</v>
      </c>
      <c r="B21" s="69" t="s">
        <v>97</v>
      </c>
      <c r="C21" s="92">
        <v>385800</v>
      </c>
      <c r="D21" s="152">
        <v>401592.43869999994</v>
      </c>
      <c r="E21" s="159">
        <f>D21/12</f>
        <v>33466.036558333326</v>
      </c>
      <c r="F21" s="130"/>
    </row>
    <row r="22" spans="1:6" hidden="1">
      <c r="A22" s="1">
        <v>1131</v>
      </c>
      <c r="B22" s="11" t="s">
        <v>222</v>
      </c>
      <c r="C22" s="12">
        <v>306600</v>
      </c>
      <c r="D22" s="52">
        <v>25550</v>
      </c>
      <c r="E22" s="146"/>
      <c r="F22" t="e" cm="1">
        <f t="array" aca="1" ref="F22" ca="1">ColorNumber(D22)</f>
        <v>#NAME?</v>
      </c>
    </row>
    <row r="23" spans="1:6" hidden="1">
      <c r="A23" s="4">
        <v>113101</v>
      </c>
      <c r="B23" s="53" t="s">
        <v>98</v>
      </c>
      <c r="C23" s="54">
        <v>180000</v>
      </c>
      <c r="D23" s="54">
        <v>15000</v>
      </c>
      <c r="E23" s="144"/>
      <c r="F23" t="e" cm="1">
        <f t="array" aca="1" ref="F23" ca="1">ColorNumber(D23)</f>
        <v>#NAME?</v>
      </c>
    </row>
    <row r="24" spans="1:6" hidden="1">
      <c r="A24" s="4">
        <v>113102</v>
      </c>
      <c r="B24" s="53" t="s">
        <v>99</v>
      </c>
      <c r="C24" s="54">
        <v>120000</v>
      </c>
      <c r="D24" s="54">
        <v>10000</v>
      </c>
      <c r="E24" s="144"/>
      <c r="F24" t="e" cm="1">
        <f t="array" aca="1" ref="F24" ca="1">ColorNumber(D24)</f>
        <v>#NAME?</v>
      </c>
    </row>
    <row r="25" spans="1:6" hidden="1">
      <c r="A25" s="4">
        <v>113103</v>
      </c>
      <c r="B25" s="53" t="s">
        <v>100</v>
      </c>
      <c r="C25" s="54">
        <v>6600</v>
      </c>
      <c r="D25" s="54">
        <v>550</v>
      </c>
      <c r="E25" s="144"/>
      <c r="F25" t="e" cm="1">
        <f t="array" aca="1" ref="F25" ca="1">ColorNumber(D25)</f>
        <v>#NAME?</v>
      </c>
    </row>
    <row r="26" spans="1:6" hidden="1">
      <c r="A26" s="1">
        <v>1133</v>
      </c>
      <c r="B26" s="11" t="s">
        <v>101</v>
      </c>
      <c r="C26" s="12">
        <v>79200</v>
      </c>
      <c r="D26" s="52">
        <v>6600</v>
      </c>
      <c r="E26" s="146"/>
      <c r="F26" t="e" cm="1">
        <f t="array" aca="1" ref="F26" ca="1">ColorNumber(D26)</f>
        <v>#NAME?</v>
      </c>
    </row>
    <row r="27" spans="1:6" hidden="1">
      <c r="A27" s="4">
        <v>113301</v>
      </c>
      <c r="B27" s="53" t="s">
        <v>102</v>
      </c>
      <c r="C27" s="54">
        <v>72000</v>
      </c>
      <c r="D27" s="54">
        <v>6000</v>
      </c>
      <c r="E27" s="144"/>
      <c r="F27" t="e" cm="1">
        <f t="array" aca="1" ref="F27" ca="1">ColorNumber(D27)</f>
        <v>#NAME?</v>
      </c>
    </row>
    <row r="28" spans="1:6" hidden="1">
      <c r="A28" s="4">
        <v>113302</v>
      </c>
      <c r="B28" s="53" t="s">
        <v>103</v>
      </c>
      <c r="C28" s="54">
        <v>7200</v>
      </c>
      <c r="D28" s="54">
        <v>600</v>
      </c>
      <c r="E28" s="144"/>
      <c r="F28" t="e" cm="1">
        <f t="array" aca="1" ref="F28" ca="1">ColorNumber(D28)</f>
        <v>#NAME?</v>
      </c>
    </row>
    <row r="29" spans="1:6">
      <c r="A29" s="15">
        <v>114</v>
      </c>
      <c r="B29" s="69" t="s">
        <v>104</v>
      </c>
      <c r="C29" s="92">
        <v>936000</v>
      </c>
      <c r="D29" s="153">
        <v>617611.99809999997</v>
      </c>
      <c r="E29" s="159">
        <f>D29/12</f>
        <v>51467.666508333328</v>
      </c>
      <c r="F29" s="130"/>
    </row>
    <row r="30" spans="1:6" hidden="1">
      <c r="A30" s="1">
        <v>1141</v>
      </c>
      <c r="B30" s="11" t="s">
        <v>223</v>
      </c>
      <c r="C30" s="12">
        <v>384000</v>
      </c>
      <c r="D30" s="52">
        <v>32000</v>
      </c>
      <c r="E30" s="146"/>
      <c r="F30" t="e" cm="1">
        <f t="array" aca="1" ref="F30" ca="1">ColorNumber(D30)</f>
        <v>#NAME?</v>
      </c>
    </row>
    <row r="31" spans="1:6" hidden="1">
      <c r="A31" s="4">
        <v>114121</v>
      </c>
      <c r="B31" s="53" t="s">
        <v>105</v>
      </c>
      <c r="C31" s="54">
        <v>24000</v>
      </c>
      <c r="D31" s="54">
        <v>2000</v>
      </c>
      <c r="E31" s="144"/>
      <c r="F31" t="e" cm="1">
        <f t="array" aca="1" ref="F31" ca="1">ColorNumber(D31)</f>
        <v>#NAME?</v>
      </c>
    </row>
    <row r="32" spans="1:6" hidden="1">
      <c r="A32" s="4">
        <v>114122</v>
      </c>
      <c r="B32" s="53" t="s">
        <v>106</v>
      </c>
      <c r="C32" s="54">
        <v>240000</v>
      </c>
      <c r="D32" s="54">
        <v>20000</v>
      </c>
      <c r="E32" s="144"/>
      <c r="F32" t="e" cm="1">
        <f t="array" aca="1" ref="F32" ca="1">ColorNumber(D32)</f>
        <v>#NAME?</v>
      </c>
    </row>
    <row r="33" spans="1:6" hidden="1">
      <c r="A33" s="4">
        <v>114123</v>
      </c>
      <c r="B33" s="53" t="s">
        <v>107</v>
      </c>
      <c r="C33" s="54">
        <v>24000</v>
      </c>
      <c r="D33" s="54">
        <v>2000</v>
      </c>
      <c r="E33" s="144"/>
      <c r="F33" t="e" cm="1">
        <f t="array" aca="1" ref="F33" ca="1">ColorNumber(D33)</f>
        <v>#NAME?</v>
      </c>
    </row>
    <row r="34" spans="1:6" hidden="1">
      <c r="A34" s="4">
        <v>114124</v>
      </c>
      <c r="B34" s="53" t="s">
        <v>108</v>
      </c>
      <c r="C34" s="54">
        <v>12000</v>
      </c>
      <c r="D34" s="54">
        <v>1000</v>
      </c>
      <c r="E34" s="144"/>
      <c r="F34" t="e" cm="1">
        <f t="array" aca="1" ref="F34" ca="1">ColorNumber(D34)</f>
        <v>#NAME?</v>
      </c>
    </row>
    <row r="35" spans="1:6" hidden="1">
      <c r="A35" s="4">
        <v>114125</v>
      </c>
      <c r="B35" s="53" t="s">
        <v>109</v>
      </c>
      <c r="C35" s="54">
        <v>6000</v>
      </c>
      <c r="D35" s="54">
        <v>500</v>
      </c>
      <c r="E35" s="144"/>
      <c r="F35" t="e" cm="1">
        <f t="array" aca="1" ref="F35" ca="1">ColorNumber(D35)</f>
        <v>#NAME?</v>
      </c>
    </row>
    <row r="36" spans="1:6" hidden="1">
      <c r="A36" s="4">
        <v>114126</v>
      </c>
      <c r="B36" s="53" t="s">
        <v>110</v>
      </c>
      <c r="C36" s="54">
        <v>6000</v>
      </c>
      <c r="D36" s="54">
        <v>500</v>
      </c>
      <c r="E36" s="144"/>
      <c r="F36" t="e" cm="1">
        <f t="array" aca="1" ref="F36" ca="1">ColorNumber(D36)</f>
        <v>#NAME?</v>
      </c>
    </row>
    <row r="37" spans="1:6" hidden="1">
      <c r="A37" s="4">
        <v>114127</v>
      </c>
      <c r="B37" s="53" t="s">
        <v>111</v>
      </c>
      <c r="C37" s="54">
        <v>12000</v>
      </c>
      <c r="D37" s="54">
        <v>1000</v>
      </c>
      <c r="E37" s="144"/>
      <c r="F37" t="e" cm="1">
        <f t="array" aca="1" ref="F37" ca="1">ColorNumber(D37)</f>
        <v>#NAME?</v>
      </c>
    </row>
    <row r="38" spans="1:6" hidden="1">
      <c r="A38" s="4">
        <v>114128</v>
      </c>
      <c r="B38" s="53" t="s">
        <v>224</v>
      </c>
      <c r="C38" s="54">
        <v>24000</v>
      </c>
      <c r="D38" s="54">
        <v>2000</v>
      </c>
      <c r="E38" s="144"/>
      <c r="F38" t="e" cm="1">
        <f t="array" aca="1" ref="F38" ca="1">ColorNumber(D38)</f>
        <v>#NAME?</v>
      </c>
    </row>
    <row r="39" spans="1:6" hidden="1">
      <c r="A39" s="4">
        <v>114129</v>
      </c>
      <c r="B39" s="53" t="s">
        <v>225</v>
      </c>
      <c r="C39" s="54">
        <v>12000</v>
      </c>
      <c r="D39" s="54">
        <v>1000</v>
      </c>
      <c r="E39" s="144"/>
      <c r="F39" t="e" cm="1">
        <f t="array" aca="1" ref="F39" ca="1">ColorNumber(D39)</f>
        <v>#NAME?</v>
      </c>
    </row>
    <row r="40" spans="1:6" hidden="1">
      <c r="A40" s="4">
        <v>114131</v>
      </c>
      <c r="B40" s="53" t="s">
        <v>112</v>
      </c>
      <c r="C40" s="54">
        <v>24000</v>
      </c>
      <c r="D40" s="54">
        <v>2000</v>
      </c>
      <c r="E40" s="144"/>
      <c r="F40" t="e" cm="1">
        <f t="array" aca="1" ref="F40" ca="1">ColorNumber(D40)</f>
        <v>#NAME?</v>
      </c>
    </row>
    <row r="41" spans="1:6" hidden="1">
      <c r="A41" s="1">
        <v>1142</v>
      </c>
      <c r="B41" s="11" t="s">
        <v>113</v>
      </c>
      <c r="C41" s="12">
        <v>240000</v>
      </c>
      <c r="D41" s="52">
        <v>20000</v>
      </c>
      <c r="E41" s="146"/>
      <c r="F41" t="e" cm="1">
        <f t="array" aca="1" ref="F41" ca="1">ColorNumber(D41)</f>
        <v>#NAME?</v>
      </c>
    </row>
    <row r="42" spans="1:6" hidden="1">
      <c r="A42" s="4">
        <v>114201</v>
      </c>
      <c r="B42" s="53" t="s">
        <v>114</v>
      </c>
      <c r="C42" s="54">
        <v>12000</v>
      </c>
      <c r="D42" s="54">
        <v>1000</v>
      </c>
      <c r="E42" s="144"/>
      <c r="F42" t="e" cm="1">
        <f t="array" aca="1" ref="F42" ca="1">ColorNumber(D42)</f>
        <v>#NAME?</v>
      </c>
    </row>
    <row r="43" spans="1:6" hidden="1">
      <c r="A43" s="4">
        <v>114203</v>
      </c>
      <c r="B43" s="53" t="s">
        <v>226</v>
      </c>
      <c r="C43" s="54">
        <v>12000</v>
      </c>
      <c r="D43" s="54">
        <v>1000</v>
      </c>
      <c r="E43" s="144"/>
      <c r="F43" t="e" cm="1">
        <f t="array" aca="1" ref="F43" ca="1">ColorNumber(D43)</f>
        <v>#NAME?</v>
      </c>
    </row>
    <row r="44" spans="1:6" hidden="1">
      <c r="A44" s="4">
        <v>114205</v>
      </c>
      <c r="B44" s="53" t="s">
        <v>227</v>
      </c>
      <c r="C44" s="54">
        <v>12000</v>
      </c>
      <c r="D44" s="54">
        <v>1000</v>
      </c>
      <c r="E44" s="144"/>
      <c r="F44" t="e" cm="1">
        <f t="array" aca="1" ref="F44" ca="1">ColorNumber(D44)</f>
        <v>#NAME?</v>
      </c>
    </row>
    <row r="45" spans="1:6" hidden="1">
      <c r="A45" s="4">
        <v>114206</v>
      </c>
      <c r="B45" s="53" t="s">
        <v>228</v>
      </c>
      <c r="C45" s="54">
        <v>24000</v>
      </c>
      <c r="D45" s="54">
        <v>2000</v>
      </c>
      <c r="E45" s="144"/>
      <c r="F45" t="e" cm="1">
        <f t="array" aca="1" ref="F45" ca="1">ColorNumber(D45)</f>
        <v>#NAME?</v>
      </c>
    </row>
    <row r="46" spans="1:6" hidden="1">
      <c r="A46" s="4">
        <v>114207</v>
      </c>
      <c r="B46" s="53" t="s">
        <v>115</v>
      </c>
      <c r="C46" s="54">
        <v>24000</v>
      </c>
      <c r="D46" s="54">
        <v>2000</v>
      </c>
      <c r="E46" s="144"/>
      <c r="F46" t="e" cm="1">
        <f t="array" aca="1" ref="F46" ca="1">ColorNumber(D46)</f>
        <v>#NAME?</v>
      </c>
    </row>
    <row r="47" spans="1:6" hidden="1">
      <c r="A47" s="4">
        <v>114209</v>
      </c>
      <c r="B47" s="53" t="s">
        <v>116</v>
      </c>
      <c r="C47" s="54">
        <v>36000</v>
      </c>
      <c r="D47" s="54">
        <v>3000</v>
      </c>
      <c r="E47" s="144"/>
      <c r="F47" t="e" cm="1">
        <f t="array" aca="1" ref="F47" ca="1">ColorNumber(D47)</f>
        <v>#NAME?</v>
      </c>
    </row>
    <row r="48" spans="1:6" hidden="1">
      <c r="A48" s="4">
        <v>114210</v>
      </c>
      <c r="B48" s="53" t="s">
        <v>117</v>
      </c>
      <c r="C48" s="54">
        <v>48000</v>
      </c>
      <c r="D48" s="54">
        <v>4000</v>
      </c>
      <c r="E48" s="144"/>
      <c r="F48" t="e" cm="1">
        <f t="array" aca="1" ref="F48" ca="1">ColorNumber(D48)</f>
        <v>#NAME?</v>
      </c>
    </row>
    <row r="49" spans="1:6" hidden="1">
      <c r="A49" s="4">
        <v>114213</v>
      </c>
      <c r="B49" s="53" t="s">
        <v>118</v>
      </c>
      <c r="C49" s="54">
        <v>36000</v>
      </c>
      <c r="D49" s="54">
        <v>3000</v>
      </c>
      <c r="E49" s="144"/>
      <c r="F49" t="e" cm="1">
        <f t="array" aca="1" ref="F49" ca="1">ColorNumber(D49)</f>
        <v>#NAME?</v>
      </c>
    </row>
    <row r="50" spans="1:6" hidden="1">
      <c r="A50" s="4">
        <v>114214</v>
      </c>
      <c r="B50" s="53" t="s">
        <v>229</v>
      </c>
      <c r="C50" s="54">
        <v>12000</v>
      </c>
      <c r="D50" s="54">
        <v>1000</v>
      </c>
      <c r="E50" s="144"/>
      <c r="F50" t="e" cm="1">
        <f t="array" aca="1" ref="F50" ca="1">ColorNumber(D50)</f>
        <v>#NAME?</v>
      </c>
    </row>
    <row r="51" spans="1:6" hidden="1">
      <c r="A51" s="4">
        <v>114216</v>
      </c>
      <c r="B51" s="53" t="s">
        <v>230</v>
      </c>
      <c r="C51" s="54">
        <v>24000</v>
      </c>
      <c r="D51" s="54">
        <v>2000</v>
      </c>
      <c r="E51" s="144"/>
      <c r="F51" t="e" cm="1">
        <f t="array" aca="1" ref="F51" ca="1">ColorNumber(D51)</f>
        <v>#NAME?</v>
      </c>
    </row>
    <row r="52" spans="1:6" hidden="1">
      <c r="A52" s="1">
        <v>1144</v>
      </c>
      <c r="B52" s="11" t="s">
        <v>119</v>
      </c>
      <c r="C52" s="12">
        <v>96000</v>
      </c>
      <c r="D52" s="52">
        <v>8000</v>
      </c>
      <c r="E52" s="146"/>
      <c r="F52" t="e" cm="1">
        <f t="array" aca="1" ref="F52" ca="1">ColorNumber(D52)</f>
        <v>#NAME?</v>
      </c>
    </row>
    <row r="53" spans="1:6" hidden="1">
      <c r="A53" s="4">
        <v>114422</v>
      </c>
      <c r="B53" s="53" t="s">
        <v>231</v>
      </c>
      <c r="C53" s="54">
        <v>96000</v>
      </c>
      <c r="D53" s="54">
        <v>8000</v>
      </c>
      <c r="E53" s="144"/>
      <c r="F53" t="e" cm="1">
        <f t="array" aca="1" ref="F53" ca="1">ColorNumber(D53)</f>
        <v>#NAME?</v>
      </c>
    </row>
    <row r="54" spans="1:6" ht="22.3" hidden="1">
      <c r="A54" s="1">
        <v>1145</v>
      </c>
      <c r="B54" s="11" t="s">
        <v>120</v>
      </c>
      <c r="C54" s="12">
        <v>312000</v>
      </c>
      <c r="D54" s="52">
        <v>26000</v>
      </c>
      <c r="E54" s="146"/>
      <c r="F54" t="e" cm="1">
        <f t="array" aca="1" ref="F54" ca="1">ColorNumber(D54)</f>
        <v>#NAME?</v>
      </c>
    </row>
    <row r="55" spans="1:6" hidden="1">
      <c r="A55" s="4">
        <v>114525</v>
      </c>
      <c r="B55" s="53" t="s">
        <v>121</v>
      </c>
      <c r="C55" s="54">
        <v>24000</v>
      </c>
      <c r="D55" s="54">
        <v>2000</v>
      </c>
      <c r="E55" s="144"/>
      <c r="F55" t="e" cm="1">
        <f t="array" aca="1" ref="F55" ca="1">ColorNumber(D55)</f>
        <v>#NAME?</v>
      </c>
    </row>
    <row r="56" spans="1:6" hidden="1">
      <c r="A56" s="4">
        <v>114526</v>
      </c>
      <c r="B56" s="53" t="s">
        <v>122</v>
      </c>
      <c r="C56" s="54">
        <v>240000</v>
      </c>
      <c r="D56" s="54">
        <v>20000</v>
      </c>
      <c r="E56" s="144"/>
      <c r="F56" t="e" cm="1">
        <f t="array" aca="1" ref="F56" ca="1">ColorNumber(D56)</f>
        <v>#NAME?</v>
      </c>
    </row>
    <row r="57" spans="1:6" hidden="1">
      <c r="A57" s="4">
        <v>114527</v>
      </c>
      <c r="B57" s="53" t="s">
        <v>123</v>
      </c>
      <c r="C57" s="54">
        <v>30000</v>
      </c>
      <c r="D57" s="54">
        <v>2500</v>
      </c>
      <c r="E57" s="144"/>
      <c r="F57" t="e" cm="1">
        <f t="array" aca="1" ref="F57" ca="1">ColorNumber(D57)</f>
        <v>#NAME?</v>
      </c>
    </row>
    <row r="58" spans="1:6" hidden="1">
      <c r="A58" s="4">
        <v>114529</v>
      </c>
      <c r="B58" s="53" t="s">
        <v>124</v>
      </c>
      <c r="C58" s="54">
        <v>18000</v>
      </c>
      <c r="D58" s="54">
        <v>1500</v>
      </c>
      <c r="E58" s="144"/>
      <c r="F58" t="e" cm="1">
        <f t="array" aca="1" ref="F58" ca="1">ColorNumber(D58)</f>
        <v>#NAME?</v>
      </c>
    </row>
    <row r="59" spans="1:6" ht="24" customHeight="1">
      <c r="A59" s="15">
        <v>115</v>
      </c>
      <c r="B59" s="69" t="s">
        <v>125</v>
      </c>
      <c r="C59" s="92">
        <v>4958640</v>
      </c>
      <c r="D59" s="152">
        <v>2977065.6422999999</v>
      </c>
      <c r="E59" s="159">
        <f>D59/12</f>
        <v>248088.803525</v>
      </c>
      <c r="F59" s="130"/>
    </row>
    <row r="60" spans="1:6" ht="22.3" hidden="1">
      <c r="A60" s="1">
        <v>1151</v>
      </c>
      <c r="B60" s="11" t="s">
        <v>232</v>
      </c>
      <c r="C60" s="12">
        <v>4850640</v>
      </c>
      <c r="D60" s="52">
        <v>404220</v>
      </c>
      <c r="E60" s="146"/>
      <c r="F60" t="e" cm="1">
        <f t="array" aca="1" ref="F60" ca="1">ColorNumber(D60)</f>
        <v>#NAME?</v>
      </c>
    </row>
    <row r="61" spans="1:6" hidden="1">
      <c r="A61" s="4">
        <v>115101</v>
      </c>
      <c r="B61" s="53" t="s">
        <v>126</v>
      </c>
      <c r="C61" s="54">
        <v>776640</v>
      </c>
      <c r="D61" s="54">
        <v>64720</v>
      </c>
      <c r="E61" s="144"/>
      <c r="F61" t="e" cm="1">
        <f t="array" aca="1" ref="F61" ca="1">ColorNumber(D61)</f>
        <v>#NAME?</v>
      </c>
    </row>
    <row r="62" spans="1:6" hidden="1">
      <c r="A62" s="4">
        <v>115102</v>
      </c>
      <c r="B62" s="53" t="s">
        <v>127</v>
      </c>
      <c r="C62" s="54">
        <v>804000</v>
      </c>
      <c r="D62" s="54">
        <v>67000</v>
      </c>
      <c r="E62" s="144"/>
      <c r="F62" t="e" cm="1">
        <f t="array" aca="1" ref="F62" ca="1">ColorNumber(D62)</f>
        <v>#NAME?</v>
      </c>
    </row>
    <row r="63" spans="1:6" hidden="1">
      <c r="A63" s="4">
        <v>115103</v>
      </c>
      <c r="B63" s="53" t="s">
        <v>233</v>
      </c>
      <c r="C63" s="54">
        <v>24000</v>
      </c>
      <c r="D63" s="54">
        <v>2000</v>
      </c>
      <c r="E63" s="144"/>
      <c r="F63" t="e" cm="1">
        <f t="array" aca="1" ref="F63" ca="1">ColorNumber(D63)</f>
        <v>#NAME?</v>
      </c>
    </row>
    <row r="64" spans="1:6" hidden="1">
      <c r="A64" s="4">
        <v>115104</v>
      </c>
      <c r="B64" s="53" t="s">
        <v>234</v>
      </c>
      <c r="C64" s="54">
        <v>24000</v>
      </c>
      <c r="D64" s="54">
        <v>2000</v>
      </c>
      <c r="E64" s="144"/>
      <c r="F64" t="e" cm="1">
        <f t="array" aca="1" ref="F64" ca="1">ColorNumber(D64)</f>
        <v>#NAME?</v>
      </c>
    </row>
    <row r="65" spans="1:6" hidden="1">
      <c r="A65" s="4">
        <v>115105</v>
      </c>
      <c r="B65" s="53" t="s">
        <v>235</v>
      </c>
      <c r="C65" s="54">
        <v>24000</v>
      </c>
      <c r="D65" s="54">
        <v>2000</v>
      </c>
      <c r="E65" s="144"/>
      <c r="F65" t="e" cm="1">
        <f t="array" aca="1" ref="F65" ca="1">ColorNumber(D65)</f>
        <v>#NAME?</v>
      </c>
    </row>
    <row r="66" spans="1:6" hidden="1">
      <c r="A66" s="4">
        <v>115106</v>
      </c>
      <c r="B66" s="53" t="s">
        <v>128</v>
      </c>
      <c r="C66" s="54">
        <v>2160000</v>
      </c>
      <c r="D66" s="54">
        <v>180000</v>
      </c>
      <c r="E66" s="144"/>
      <c r="F66" t="e" cm="1">
        <f t="array" aca="1" ref="F66" ca="1">ColorNumber(D66)</f>
        <v>#NAME?</v>
      </c>
    </row>
    <row r="67" spans="1:6" hidden="1">
      <c r="A67" s="4">
        <v>115107</v>
      </c>
      <c r="B67" s="53" t="s">
        <v>236</v>
      </c>
      <c r="C67" s="54">
        <v>180000</v>
      </c>
      <c r="D67" s="54">
        <v>15000</v>
      </c>
      <c r="E67" s="144"/>
      <c r="F67" t="e" cm="1">
        <f t="array" aca="1" ref="F67" ca="1">ColorNumber(D67)</f>
        <v>#NAME?</v>
      </c>
    </row>
    <row r="68" spans="1:6" hidden="1">
      <c r="A68" s="4">
        <v>115108</v>
      </c>
      <c r="B68" s="53" t="s">
        <v>237</v>
      </c>
      <c r="C68" s="54">
        <v>240000</v>
      </c>
      <c r="D68" s="54">
        <v>20000</v>
      </c>
      <c r="E68" s="144"/>
      <c r="F68" t="e" cm="1">
        <f t="array" aca="1" ref="F68" ca="1">ColorNumber(D68)</f>
        <v>#NAME?</v>
      </c>
    </row>
    <row r="69" spans="1:6" hidden="1">
      <c r="A69" s="4">
        <v>115109</v>
      </c>
      <c r="B69" s="53" t="s">
        <v>238</v>
      </c>
      <c r="C69" s="54">
        <v>120000</v>
      </c>
      <c r="D69" s="54">
        <v>10000</v>
      </c>
      <c r="E69" s="144"/>
      <c r="F69" t="e" cm="1">
        <f t="array" aca="1" ref="F69" ca="1">ColorNumber(D69)</f>
        <v>#NAME?</v>
      </c>
    </row>
    <row r="70" spans="1:6" hidden="1">
      <c r="A70" s="4">
        <v>115110</v>
      </c>
      <c r="B70" s="53" t="s">
        <v>239</v>
      </c>
      <c r="C70" s="54">
        <v>6000</v>
      </c>
      <c r="D70" s="54">
        <v>500</v>
      </c>
      <c r="E70" s="144"/>
      <c r="F70" t="e" cm="1">
        <f t="array" aca="1" ref="F70" ca="1">ColorNumber(D70)</f>
        <v>#NAME?</v>
      </c>
    </row>
    <row r="71" spans="1:6" hidden="1">
      <c r="A71" s="4">
        <v>115111</v>
      </c>
      <c r="B71" s="53" t="s">
        <v>129</v>
      </c>
      <c r="C71" s="54">
        <v>48000</v>
      </c>
      <c r="D71" s="54">
        <v>4000</v>
      </c>
      <c r="E71" s="144"/>
      <c r="F71" t="e" cm="1">
        <f t="array" aca="1" ref="F71" ca="1">ColorNumber(D71)</f>
        <v>#NAME?</v>
      </c>
    </row>
    <row r="72" spans="1:6" hidden="1">
      <c r="A72" s="4">
        <v>115112</v>
      </c>
      <c r="B72" s="53" t="s">
        <v>240</v>
      </c>
      <c r="C72" s="54">
        <v>24000</v>
      </c>
      <c r="D72" s="54">
        <v>2000</v>
      </c>
      <c r="E72" s="144"/>
      <c r="F72" t="e" cm="1">
        <f t="array" aca="1" ref="F72" ca="1">ColorNumber(D72)</f>
        <v>#NAME?</v>
      </c>
    </row>
    <row r="73" spans="1:6" hidden="1">
      <c r="A73" s="4">
        <v>115113</v>
      </c>
      <c r="B73" s="53" t="s">
        <v>241</v>
      </c>
      <c r="C73" s="54">
        <v>24000</v>
      </c>
      <c r="D73" s="54">
        <v>2000</v>
      </c>
      <c r="E73" s="144"/>
      <c r="F73" t="e" cm="1">
        <f t="array" aca="1" ref="F73" ca="1">ColorNumber(D73)</f>
        <v>#NAME?</v>
      </c>
    </row>
    <row r="74" spans="1:6" hidden="1">
      <c r="A74" s="4">
        <v>115114</v>
      </c>
      <c r="B74" s="53" t="s">
        <v>130</v>
      </c>
      <c r="C74" s="54">
        <v>12000</v>
      </c>
      <c r="D74" s="54">
        <v>1000</v>
      </c>
      <c r="E74" s="144"/>
      <c r="F74" t="e" cm="1">
        <f t="array" aca="1" ref="F74" ca="1">ColorNumber(D74)</f>
        <v>#NAME?</v>
      </c>
    </row>
    <row r="75" spans="1:6" hidden="1">
      <c r="A75" s="4">
        <v>115115</v>
      </c>
      <c r="B75" s="53" t="s">
        <v>131</v>
      </c>
      <c r="C75" s="54">
        <v>60000</v>
      </c>
      <c r="D75" s="54">
        <v>5000</v>
      </c>
      <c r="E75" s="144"/>
      <c r="F75" t="e" cm="1">
        <f t="array" aca="1" ref="F75" ca="1">ColorNumber(D75)</f>
        <v>#NAME?</v>
      </c>
    </row>
    <row r="76" spans="1:6" hidden="1">
      <c r="A76" s="4">
        <v>115116</v>
      </c>
      <c r="B76" s="53" t="s">
        <v>132</v>
      </c>
      <c r="C76" s="54">
        <v>120000</v>
      </c>
      <c r="D76" s="54">
        <v>10000</v>
      </c>
      <c r="E76" s="144"/>
      <c r="F76" t="e" cm="1">
        <f t="array" aca="1" ref="F76" ca="1">ColorNumber(D76)</f>
        <v>#NAME?</v>
      </c>
    </row>
    <row r="77" spans="1:6" hidden="1">
      <c r="A77" s="4">
        <v>115117</v>
      </c>
      <c r="B77" s="53" t="s">
        <v>133</v>
      </c>
      <c r="C77" s="54">
        <v>60000</v>
      </c>
      <c r="D77" s="54">
        <v>5000</v>
      </c>
      <c r="E77" s="144"/>
      <c r="F77" t="e" cm="1">
        <f t="array" aca="1" ref="F77" ca="1">ColorNumber(D77)</f>
        <v>#NAME?</v>
      </c>
    </row>
    <row r="78" spans="1:6" hidden="1">
      <c r="A78" s="4">
        <v>115118</v>
      </c>
      <c r="B78" s="53" t="s">
        <v>134</v>
      </c>
      <c r="C78" s="54">
        <v>60000</v>
      </c>
      <c r="D78" s="54">
        <v>5000</v>
      </c>
      <c r="E78" s="144"/>
      <c r="F78" t="e" cm="1">
        <f t="array" aca="1" ref="F78" ca="1">ColorNumber(D78)</f>
        <v>#NAME?</v>
      </c>
    </row>
    <row r="79" spans="1:6" hidden="1">
      <c r="A79" s="4">
        <v>115119</v>
      </c>
      <c r="B79" s="53" t="s">
        <v>135</v>
      </c>
      <c r="C79" s="54">
        <v>12000</v>
      </c>
      <c r="D79" s="54">
        <v>1000</v>
      </c>
      <c r="E79" s="144"/>
      <c r="F79" t="e" cm="1">
        <f t="array" aca="1" ref="F79" ca="1">ColorNumber(D79)</f>
        <v>#NAME?</v>
      </c>
    </row>
    <row r="80" spans="1:6" hidden="1">
      <c r="A80" s="4">
        <v>115120</v>
      </c>
      <c r="B80" s="53" t="s">
        <v>136</v>
      </c>
      <c r="C80" s="54">
        <v>24000</v>
      </c>
      <c r="D80" s="54">
        <v>2000</v>
      </c>
      <c r="E80" s="144"/>
      <c r="F80" t="e" cm="1">
        <f t="array" aca="1" ref="F80" ca="1">ColorNumber(D80)</f>
        <v>#NAME?</v>
      </c>
    </row>
    <row r="81" spans="1:6" hidden="1">
      <c r="A81" s="4">
        <v>115121</v>
      </c>
      <c r="B81" s="53" t="s">
        <v>137</v>
      </c>
      <c r="C81" s="54">
        <v>24000</v>
      </c>
      <c r="D81" s="54">
        <v>2000</v>
      </c>
      <c r="E81" s="144"/>
      <c r="F81" t="e" cm="1">
        <f t="array" aca="1" ref="F81" ca="1">ColorNumber(D81)</f>
        <v>#NAME?</v>
      </c>
    </row>
    <row r="82" spans="1:6" hidden="1">
      <c r="A82" s="4">
        <v>115122</v>
      </c>
      <c r="B82" s="53" t="s">
        <v>138</v>
      </c>
      <c r="C82" s="54">
        <v>12000</v>
      </c>
      <c r="D82" s="54">
        <v>1000</v>
      </c>
      <c r="E82" s="144"/>
      <c r="F82" t="e" cm="1">
        <f t="array" aca="1" ref="F82" ca="1">ColorNumber(D82)</f>
        <v>#NAME?</v>
      </c>
    </row>
    <row r="83" spans="1:6" hidden="1">
      <c r="A83" s="4">
        <v>115123</v>
      </c>
      <c r="B83" s="53" t="s">
        <v>242</v>
      </c>
      <c r="C83" s="54">
        <v>12000</v>
      </c>
      <c r="D83" s="54">
        <v>1000</v>
      </c>
      <c r="E83" s="144"/>
      <c r="F83" t="e" cm="1">
        <f t="array" aca="1" ref="F83" ca="1">ColorNumber(D83)</f>
        <v>#NAME?</v>
      </c>
    </row>
    <row r="84" spans="1:6" ht="22.3" hidden="1">
      <c r="A84" s="1">
        <v>1152</v>
      </c>
      <c r="B84" s="11" t="s">
        <v>243</v>
      </c>
      <c r="C84" s="12">
        <v>108000</v>
      </c>
      <c r="D84" s="52">
        <v>9000</v>
      </c>
      <c r="E84" s="146"/>
      <c r="F84" t="e" cm="1">
        <f t="array" aca="1" ref="F84" ca="1">ColorNumber(D84)</f>
        <v>#NAME?</v>
      </c>
    </row>
    <row r="85" spans="1:6" hidden="1">
      <c r="A85" s="4">
        <v>115201</v>
      </c>
      <c r="B85" s="53" t="s">
        <v>136</v>
      </c>
      <c r="C85" s="54">
        <v>48000</v>
      </c>
      <c r="D85" s="54">
        <v>4000</v>
      </c>
      <c r="E85" s="144"/>
      <c r="F85" t="e" cm="1">
        <f t="array" aca="1" ref="F85" ca="1">ColorNumber(D85)</f>
        <v>#NAME?</v>
      </c>
    </row>
    <row r="86" spans="1:6" hidden="1">
      <c r="A86" s="4">
        <v>115202</v>
      </c>
      <c r="B86" s="53" t="s">
        <v>137</v>
      </c>
      <c r="C86" s="54">
        <v>24000</v>
      </c>
      <c r="D86" s="54">
        <v>2000</v>
      </c>
      <c r="E86" s="144"/>
      <c r="F86" t="e" cm="1">
        <f t="array" aca="1" ref="F86" ca="1">ColorNumber(D86)</f>
        <v>#NAME?</v>
      </c>
    </row>
    <row r="87" spans="1:6" hidden="1">
      <c r="A87" s="4">
        <v>115204</v>
      </c>
      <c r="B87" s="53" t="s">
        <v>242</v>
      </c>
      <c r="C87" s="54">
        <v>12000</v>
      </c>
      <c r="D87" s="54">
        <v>1000</v>
      </c>
      <c r="E87" s="144"/>
      <c r="F87" t="e" cm="1">
        <f t="array" aca="1" ref="F87" ca="1">ColorNumber(D87)</f>
        <v>#NAME?</v>
      </c>
    </row>
    <row r="88" spans="1:6" hidden="1">
      <c r="A88" s="4">
        <v>115205</v>
      </c>
      <c r="B88" s="53" t="s">
        <v>244</v>
      </c>
      <c r="C88" s="54">
        <v>12000</v>
      </c>
      <c r="D88" s="54">
        <v>1000</v>
      </c>
      <c r="E88" s="144"/>
      <c r="F88" t="e" cm="1">
        <f t="array" aca="1" ref="F88" ca="1">ColorNumber(D88)</f>
        <v>#NAME?</v>
      </c>
    </row>
    <row r="89" spans="1:6" hidden="1">
      <c r="A89" s="4">
        <v>115208</v>
      </c>
      <c r="B89" s="53" t="s">
        <v>139</v>
      </c>
      <c r="C89" s="54">
        <v>12000</v>
      </c>
      <c r="D89" s="54">
        <v>1000</v>
      </c>
      <c r="E89" s="144"/>
      <c r="F89" t="e" cm="1">
        <f t="array" aca="1" ref="F89" ca="1">ColorNumber(D89)</f>
        <v>#NAME?</v>
      </c>
    </row>
    <row r="90" spans="1:6">
      <c r="A90" s="15">
        <v>116</v>
      </c>
      <c r="B90" s="69" t="s">
        <v>140</v>
      </c>
      <c r="C90" s="92">
        <v>60000</v>
      </c>
      <c r="D90" s="152">
        <v>224649.19145999997</v>
      </c>
      <c r="E90" s="159">
        <f>D90/12</f>
        <v>18720.765954999999</v>
      </c>
      <c r="F90" s="130"/>
    </row>
    <row r="91" spans="1:6" hidden="1">
      <c r="A91" s="1">
        <v>1161</v>
      </c>
      <c r="B91" s="11" t="s">
        <v>141</v>
      </c>
      <c r="C91" s="12">
        <v>60000</v>
      </c>
      <c r="D91" s="52">
        <v>5000</v>
      </c>
      <c r="E91" s="146"/>
      <c r="F91" t="e" cm="1">
        <f t="array" aca="1" ref="F91" ca="1">ColorNumber(D91)</f>
        <v>#NAME?</v>
      </c>
    </row>
    <row r="92" spans="1:6" hidden="1">
      <c r="A92" s="4">
        <v>116101</v>
      </c>
      <c r="B92" s="53" t="s">
        <v>142</v>
      </c>
      <c r="C92" s="54">
        <v>12000</v>
      </c>
      <c r="D92" s="54">
        <v>1000</v>
      </c>
      <c r="E92" s="144"/>
      <c r="F92" t="e" cm="1">
        <f t="array" aca="1" ref="F92" ca="1">ColorNumber(D92)</f>
        <v>#NAME?</v>
      </c>
    </row>
    <row r="93" spans="1:6" hidden="1">
      <c r="A93" s="4">
        <v>116102</v>
      </c>
      <c r="B93" s="53" t="s">
        <v>143</v>
      </c>
      <c r="C93" s="54">
        <v>36000</v>
      </c>
      <c r="D93" s="54">
        <v>3000</v>
      </c>
      <c r="E93" s="144"/>
      <c r="F93" t="e" cm="1">
        <f t="array" aca="1" ref="F93" ca="1">ColorNumber(D93)</f>
        <v>#NAME?</v>
      </c>
    </row>
    <row r="94" spans="1:6" hidden="1">
      <c r="A94" s="4">
        <v>116103</v>
      </c>
      <c r="B94" s="53" t="s">
        <v>144</v>
      </c>
      <c r="C94" s="54">
        <v>12000</v>
      </c>
      <c r="D94" s="54">
        <v>1000</v>
      </c>
      <c r="E94" s="144"/>
      <c r="F94" t="e" cm="1">
        <f t="array" aca="1" ref="F94" ca="1">ColorNumber(D94)</f>
        <v>#NAME?</v>
      </c>
    </row>
    <row r="95" spans="1:6" hidden="1">
      <c r="A95" s="1">
        <v>1162</v>
      </c>
      <c r="B95" s="11" t="s">
        <v>140</v>
      </c>
      <c r="C95" s="12">
        <v>6000</v>
      </c>
      <c r="D95" s="52">
        <v>500</v>
      </c>
      <c r="E95" s="146"/>
      <c r="F95" t="e" cm="1">
        <f t="array" aca="1" ref="F95" ca="1">ColorNumber(D95)</f>
        <v>#NAME?</v>
      </c>
    </row>
    <row r="96" spans="1:6" hidden="1">
      <c r="A96" s="4">
        <v>116221</v>
      </c>
      <c r="B96" s="53" t="s">
        <v>245</v>
      </c>
      <c r="C96" s="54">
        <v>6000</v>
      </c>
      <c r="D96" s="54">
        <v>500</v>
      </c>
      <c r="E96" s="144"/>
      <c r="F96" t="e" cm="1">
        <f t="array" aca="1" ref="F96" ca="1">ColorNumber(D96)</f>
        <v>#NAME?</v>
      </c>
    </row>
    <row r="97" spans="1:7">
      <c r="A97" s="2">
        <v>12</v>
      </c>
      <c r="B97" s="7" t="s">
        <v>145</v>
      </c>
      <c r="C97" s="8">
        <v>4200000</v>
      </c>
      <c r="D97" s="151">
        <f>D98</f>
        <v>2400000</v>
      </c>
      <c r="E97" s="151">
        <f t="shared" ref="E97:E98" si="1">D97/12</f>
        <v>200000</v>
      </c>
      <c r="F97" s="163"/>
    </row>
    <row r="98" spans="1:7" s="51" customFormat="1">
      <c r="A98" s="15">
        <v>121</v>
      </c>
      <c r="B98" s="69" t="s">
        <v>145</v>
      </c>
      <c r="C98" s="92">
        <v>4200000</v>
      </c>
      <c r="D98" s="154">
        <v>2400000</v>
      </c>
      <c r="E98" s="154">
        <f t="shared" si="1"/>
        <v>200000</v>
      </c>
      <c r="F98" s="163"/>
      <c r="G98" s="129"/>
    </row>
    <row r="99" spans="1:7" hidden="1">
      <c r="A99" s="1">
        <v>1211</v>
      </c>
      <c r="B99" s="11" t="s">
        <v>145</v>
      </c>
      <c r="C99" s="12">
        <v>4200000</v>
      </c>
      <c r="D99" s="52">
        <v>350000</v>
      </c>
      <c r="E99" s="146"/>
      <c r="F99" t="e" cm="1">
        <f t="array" aca="1" ref="F99" ca="1">ColorNumber(D99)</f>
        <v>#NAME?</v>
      </c>
    </row>
    <row r="100" spans="1:7" hidden="1">
      <c r="A100" s="4">
        <v>121104</v>
      </c>
      <c r="B100" s="53" t="s">
        <v>145</v>
      </c>
      <c r="C100" s="55">
        <v>4200000</v>
      </c>
      <c r="D100" s="55">
        <v>350000</v>
      </c>
      <c r="E100" s="148"/>
      <c r="F100" t="e" cm="1">
        <f t="array" aca="1" ref="F100" ca="1">ColorNumber(D100)</f>
        <v>#NAME?</v>
      </c>
    </row>
    <row r="101" spans="1:7">
      <c r="A101" s="2">
        <v>13</v>
      </c>
      <c r="B101" s="7" t="s">
        <v>146</v>
      </c>
      <c r="C101" s="8">
        <v>6480000</v>
      </c>
      <c r="D101" s="151">
        <f>D106+D110</f>
        <v>7931442.3144841176</v>
      </c>
      <c r="E101" s="151">
        <f>D101/12</f>
        <v>660953.5262070098</v>
      </c>
      <c r="F101" s="163"/>
    </row>
    <row r="102" spans="1:7" hidden="1">
      <c r="A102" s="15">
        <v>131</v>
      </c>
      <c r="B102" s="69" t="s">
        <v>147</v>
      </c>
      <c r="C102" s="70">
        <v>360000</v>
      </c>
      <c r="D102" s="70"/>
      <c r="E102" s="149"/>
      <c r="F102"/>
    </row>
    <row r="103" spans="1:7" hidden="1">
      <c r="A103" s="1">
        <v>1311</v>
      </c>
      <c r="B103" s="11" t="s">
        <v>147</v>
      </c>
      <c r="C103" s="12">
        <v>360000</v>
      </c>
      <c r="D103" s="52">
        <v>30000</v>
      </c>
      <c r="E103" s="146"/>
      <c r="F103" t="e" cm="1">
        <f t="array" aca="1" ref="F103" ca="1">ColorNumber(D103)</f>
        <v>#NAME?</v>
      </c>
    </row>
    <row r="104" spans="1:7" hidden="1">
      <c r="A104" s="4">
        <v>131101</v>
      </c>
      <c r="B104" s="53" t="s">
        <v>246</v>
      </c>
      <c r="C104" s="54">
        <v>120000</v>
      </c>
      <c r="D104" s="54">
        <v>10000</v>
      </c>
      <c r="E104" s="144"/>
      <c r="F104" t="e" cm="1">
        <f t="array" aca="1" ref="F104" ca="1">ColorNumber(D104)</f>
        <v>#NAME?</v>
      </c>
    </row>
    <row r="105" spans="1:7" hidden="1">
      <c r="A105" s="4">
        <v>131102</v>
      </c>
      <c r="B105" s="53" t="s">
        <v>247</v>
      </c>
      <c r="C105" s="54">
        <v>240000</v>
      </c>
      <c r="D105" s="54">
        <v>20000</v>
      </c>
      <c r="E105" s="144"/>
      <c r="F105" t="e" cm="1">
        <f t="array" aca="1" ref="F105" ca="1">ColorNumber(D105)</f>
        <v>#NAME?</v>
      </c>
    </row>
    <row r="106" spans="1:7">
      <c r="A106" s="15">
        <v>132</v>
      </c>
      <c r="B106" s="69" t="s">
        <v>148</v>
      </c>
      <c r="C106" s="92">
        <v>360000</v>
      </c>
      <c r="D106" s="155">
        <v>4646256.0564841181</v>
      </c>
      <c r="E106" s="159">
        <f>D106/12</f>
        <v>387188.00470700982</v>
      </c>
      <c r="F106" s="163"/>
      <c r="G106" s="131"/>
    </row>
    <row r="107" spans="1:7" hidden="1">
      <c r="A107" s="1">
        <v>1321</v>
      </c>
      <c r="B107" s="11" t="s">
        <v>148</v>
      </c>
      <c r="C107" s="12">
        <v>360000</v>
      </c>
      <c r="D107" s="52">
        <v>30000</v>
      </c>
      <c r="E107" s="146"/>
      <c r="F107" t="e" cm="1">
        <f t="array" aca="1" ref="F107" ca="1">ColorNumber(D107)</f>
        <v>#NAME?</v>
      </c>
    </row>
    <row r="108" spans="1:7" hidden="1">
      <c r="A108" s="4">
        <v>132101</v>
      </c>
      <c r="B108" s="53" t="s">
        <v>248</v>
      </c>
      <c r="C108" s="54">
        <v>120000</v>
      </c>
      <c r="D108" s="54">
        <v>10000</v>
      </c>
      <c r="E108" s="144"/>
      <c r="F108" t="e" cm="1">
        <f t="array" aca="1" ref="F108" ca="1">ColorNumber(D108)</f>
        <v>#NAME?</v>
      </c>
    </row>
    <row r="109" spans="1:7" hidden="1">
      <c r="A109" s="4">
        <v>132102</v>
      </c>
      <c r="B109" s="53" t="s">
        <v>249</v>
      </c>
      <c r="C109" s="54">
        <v>240000</v>
      </c>
      <c r="D109" s="54">
        <v>20000</v>
      </c>
      <c r="E109" s="144"/>
      <c r="F109" t="e" cm="1">
        <f t="array" aca="1" ref="F109" ca="1">ColorNumber(D109)</f>
        <v>#NAME?</v>
      </c>
    </row>
    <row r="110" spans="1:7">
      <c r="A110" s="15">
        <v>133</v>
      </c>
      <c r="B110" s="69" t="s">
        <v>250</v>
      </c>
      <c r="C110" s="92">
        <v>5760000</v>
      </c>
      <c r="D110" s="155">
        <v>3285186.2579999999</v>
      </c>
      <c r="E110" s="159">
        <f>D110/12</f>
        <v>273765.52149999997</v>
      </c>
      <c r="F110" s="163"/>
      <c r="G110" s="131"/>
    </row>
    <row r="111" spans="1:7" hidden="1">
      <c r="A111" s="1">
        <v>1331</v>
      </c>
      <c r="B111" s="11" t="s">
        <v>251</v>
      </c>
      <c r="C111" s="12">
        <v>5760000</v>
      </c>
      <c r="D111" s="52">
        <v>480000</v>
      </c>
      <c r="E111" s="146"/>
      <c r="F111" t="e" cm="1">
        <f t="array" aca="1" ref="F111" ca="1">ColorNumber(D111)</f>
        <v>#NAME?</v>
      </c>
    </row>
    <row r="112" spans="1:7" hidden="1">
      <c r="A112" s="4">
        <v>133101</v>
      </c>
      <c r="B112" s="53" t="s">
        <v>149</v>
      </c>
      <c r="C112" s="54">
        <v>5400000</v>
      </c>
      <c r="D112" s="54">
        <v>450000</v>
      </c>
      <c r="E112" s="144"/>
      <c r="F112" t="e" cm="1">
        <f t="array" aca="1" ref="F112" ca="1">ColorNumber(D112)</f>
        <v>#NAME?</v>
      </c>
    </row>
    <row r="113" spans="1:7" hidden="1">
      <c r="A113" s="4">
        <v>133103</v>
      </c>
      <c r="B113" s="53" t="s">
        <v>150</v>
      </c>
      <c r="C113" s="54">
        <v>360000</v>
      </c>
      <c r="D113" s="54">
        <v>30000</v>
      </c>
      <c r="E113" s="144"/>
      <c r="F113" t="e" cm="1">
        <f t="array" aca="1" ref="F113" ca="1">ColorNumber(D113)</f>
        <v>#NAME?</v>
      </c>
    </row>
    <row r="114" spans="1:7">
      <c r="A114" s="2">
        <v>14</v>
      </c>
      <c r="B114" s="7" t="s">
        <v>151</v>
      </c>
      <c r="C114" s="8">
        <v>1710000</v>
      </c>
      <c r="D114" s="151">
        <f>D115+D121+D164</f>
        <v>851639.27939479926</v>
      </c>
      <c r="E114" s="151">
        <f t="shared" ref="E114:E115" si="2">D114/12</f>
        <v>70969.9399495666</v>
      </c>
      <c r="F114" s="163"/>
      <c r="G114" s="131"/>
    </row>
    <row r="115" spans="1:7">
      <c r="A115" s="15">
        <v>142</v>
      </c>
      <c r="B115" s="69" t="s">
        <v>152</v>
      </c>
      <c r="C115" s="92">
        <v>96000</v>
      </c>
      <c r="D115" s="155">
        <v>170327.85579999984</v>
      </c>
      <c r="E115" s="159">
        <f t="shared" si="2"/>
        <v>14193.98798333332</v>
      </c>
      <c r="F115" s="163"/>
      <c r="G115" s="87"/>
    </row>
    <row r="116" spans="1:7" hidden="1">
      <c r="A116" s="1">
        <v>1421</v>
      </c>
      <c r="B116" s="11" t="s">
        <v>152</v>
      </c>
      <c r="C116" s="12">
        <v>96000</v>
      </c>
      <c r="D116" s="52">
        <v>8000</v>
      </c>
      <c r="E116" s="146"/>
      <c r="F116" t="e" cm="1">
        <f t="array" aca="1" ref="F116" ca="1">ColorNumber(D116)</f>
        <v>#NAME?</v>
      </c>
      <c r="G116" s="46">
        <f>SUBTOTAL(9,G114:G115)</f>
        <v>0</v>
      </c>
    </row>
    <row r="117" spans="1:7" hidden="1">
      <c r="A117" s="4">
        <v>142101</v>
      </c>
      <c r="B117" s="53" t="s">
        <v>153</v>
      </c>
      <c r="C117" s="54">
        <v>24000</v>
      </c>
      <c r="D117" s="54">
        <v>2000</v>
      </c>
      <c r="E117" s="144"/>
      <c r="F117" t="e" cm="1">
        <f t="array" aca="1" ref="F117" ca="1">ColorNumber(D117)</f>
        <v>#NAME?</v>
      </c>
    </row>
    <row r="118" spans="1:7" hidden="1">
      <c r="A118" s="4">
        <v>142102</v>
      </c>
      <c r="B118" s="53" t="s">
        <v>154</v>
      </c>
      <c r="C118" s="54">
        <v>24000</v>
      </c>
      <c r="D118" s="54">
        <v>2000</v>
      </c>
      <c r="E118" s="144"/>
      <c r="F118" t="e" cm="1">
        <f t="array" aca="1" ref="F118" ca="1">ColorNumber(D118)</f>
        <v>#NAME?</v>
      </c>
    </row>
    <row r="119" spans="1:7" s="56" customFormat="1" hidden="1">
      <c r="A119" s="71">
        <v>142103</v>
      </c>
      <c r="B119" s="53" t="s">
        <v>155</v>
      </c>
      <c r="C119" s="54">
        <v>24000</v>
      </c>
      <c r="D119" s="54">
        <v>2000</v>
      </c>
      <c r="E119" s="144"/>
      <c r="F119" t="e" cm="1">
        <f t="array" aca="1" ref="F119" ca="1">ColorNumber(D119)</f>
        <v>#NAME?</v>
      </c>
    </row>
    <row r="120" spans="1:7" s="56" customFormat="1" hidden="1">
      <c r="A120" s="71">
        <v>142104</v>
      </c>
      <c r="B120" s="53" t="s">
        <v>156</v>
      </c>
      <c r="C120" s="54">
        <v>24000</v>
      </c>
      <c r="D120" s="54">
        <v>2000</v>
      </c>
      <c r="E120" s="144"/>
      <c r="F120" t="e" cm="1">
        <f t="array" aca="1" ref="F120" ca="1">ColorNumber(D120)</f>
        <v>#NAME?</v>
      </c>
    </row>
    <row r="121" spans="1:7">
      <c r="A121" s="72">
        <v>142</v>
      </c>
      <c r="B121" s="73" t="s">
        <v>157</v>
      </c>
      <c r="C121" s="93">
        <v>1578000</v>
      </c>
      <c r="D121" s="156">
        <v>631235.03359479934</v>
      </c>
      <c r="E121" s="159">
        <f>D121/12</f>
        <v>52602.919466233281</v>
      </c>
      <c r="F121" s="163"/>
      <c r="G121" s="164"/>
    </row>
    <row r="122" spans="1:7" hidden="1">
      <c r="A122" s="74">
        <v>1422</v>
      </c>
      <c r="B122" s="75" t="s">
        <v>158</v>
      </c>
      <c r="C122" s="12">
        <v>1578000</v>
      </c>
      <c r="D122" s="52">
        <v>131500</v>
      </c>
      <c r="E122" s="146"/>
      <c r="F122" t="e" cm="1">
        <f t="array" aca="1" ref="F122" ca="1">ColorNumber(D122)</f>
        <v>#NAME?</v>
      </c>
    </row>
    <row r="123" spans="1:7" hidden="1">
      <c r="A123" s="57">
        <v>142202</v>
      </c>
      <c r="B123" s="58" t="s">
        <v>159</v>
      </c>
      <c r="C123" s="54">
        <v>72000</v>
      </c>
      <c r="D123" s="54">
        <v>6000</v>
      </c>
      <c r="E123" s="144"/>
      <c r="F123" t="e" cm="1">
        <f t="array" aca="1" ref="F123" ca="1">ColorNumber(D123)</f>
        <v>#NAME?</v>
      </c>
    </row>
    <row r="124" spans="1:7" hidden="1">
      <c r="A124" s="57">
        <v>142203</v>
      </c>
      <c r="B124" s="58" t="s">
        <v>160</v>
      </c>
      <c r="C124" s="54">
        <v>12000</v>
      </c>
      <c r="D124" s="54">
        <v>1000</v>
      </c>
      <c r="E124" s="144"/>
      <c r="F124" t="e" cm="1">
        <f t="array" aca="1" ref="F124" ca="1">ColorNumber(D124)</f>
        <v>#NAME?</v>
      </c>
    </row>
    <row r="125" spans="1:7" hidden="1">
      <c r="A125" s="57">
        <v>142204</v>
      </c>
      <c r="B125" s="58" t="s">
        <v>161</v>
      </c>
      <c r="C125" s="54">
        <v>36000</v>
      </c>
      <c r="D125" s="54">
        <v>3000</v>
      </c>
      <c r="E125" s="144"/>
      <c r="F125" t="e" cm="1">
        <f t="array" aca="1" ref="F125" ca="1">ColorNumber(D125)</f>
        <v>#NAME?</v>
      </c>
    </row>
    <row r="126" spans="1:7" hidden="1">
      <c r="A126" s="57">
        <v>142205</v>
      </c>
      <c r="B126" s="58" t="s">
        <v>252</v>
      </c>
      <c r="C126" s="54">
        <v>12000</v>
      </c>
      <c r="D126" s="54">
        <v>1000</v>
      </c>
      <c r="E126" s="144"/>
      <c r="F126" t="e" cm="1">
        <f t="array" aca="1" ref="F126" ca="1">ColorNumber(D126)</f>
        <v>#NAME?</v>
      </c>
    </row>
    <row r="127" spans="1:7" hidden="1">
      <c r="A127" s="57">
        <v>142206</v>
      </c>
      <c r="B127" s="58" t="s">
        <v>162</v>
      </c>
      <c r="C127" s="54">
        <v>24000</v>
      </c>
      <c r="D127" s="54">
        <v>2000</v>
      </c>
      <c r="E127" s="144"/>
      <c r="F127" t="e" cm="1">
        <f t="array" aca="1" ref="F127" ca="1">ColorNumber(D127)</f>
        <v>#NAME?</v>
      </c>
    </row>
    <row r="128" spans="1:7" hidden="1">
      <c r="A128" s="57">
        <v>142207</v>
      </c>
      <c r="B128" s="58" t="s">
        <v>253</v>
      </c>
      <c r="C128" s="54">
        <v>72000</v>
      </c>
      <c r="D128" s="54">
        <v>6000</v>
      </c>
      <c r="E128" s="144"/>
      <c r="F128" t="e" cm="1">
        <f t="array" aca="1" ref="F128" ca="1">ColorNumber(D128)</f>
        <v>#NAME?</v>
      </c>
    </row>
    <row r="129" spans="1:6" hidden="1">
      <c r="A129" s="57">
        <v>142208</v>
      </c>
      <c r="B129" s="58" t="s">
        <v>254</v>
      </c>
      <c r="C129" s="54">
        <v>6000</v>
      </c>
      <c r="D129" s="54">
        <v>500</v>
      </c>
      <c r="E129" s="144"/>
      <c r="F129" t="e" cm="1">
        <f t="array" aca="1" ref="F129" ca="1">ColorNumber(D129)</f>
        <v>#NAME?</v>
      </c>
    </row>
    <row r="130" spans="1:6" hidden="1">
      <c r="A130" s="57">
        <v>142210</v>
      </c>
      <c r="B130" s="58" t="s">
        <v>163</v>
      </c>
      <c r="C130" s="54">
        <v>12000</v>
      </c>
      <c r="D130" s="54">
        <v>1000</v>
      </c>
      <c r="E130" s="144"/>
      <c r="F130" t="e" cm="1">
        <f t="array" aca="1" ref="F130" ca="1">ColorNumber(D130)</f>
        <v>#NAME?</v>
      </c>
    </row>
    <row r="131" spans="1:6" hidden="1">
      <c r="A131" s="57">
        <v>142211</v>
      </c>
      <c r="B131" s="58" t="s">
        <v>164</v>
      </c>
      <c r="C131" s="54">
        <v>12000</v>
      </c>
      <c r="D131" s="54">
        <v>1000</v>
      </c>
      <c r="E131" s="144"/>
      <c r="F131" t="e" cm="1">
        <f t="array" aca="1" ref="F131" ca="1">ColorNumber(D131)</f>
        <v>#NAME?</v>
      </c>
    </row>
    <row r="132" spans="1:6" hidden="1">
      <c r="A132" s="57">
        <v>142212</v>
      </c>
      <c r="B132" s="58" t="s">
        <v>165</v>
      </c>
      <c r="C132" s="54">
        <v>12000</v>
      </c>
      <c r="D132" s="54">
        <v>1000</v>
      </c>
      <c r="E132" s="144"/>
      <c r="F132" t="e" cm="1">
        <f t="array" aca="1" ref="F132" ca="1">ColorNumber(D132)</f>
        <v>#NAME?</v>
      </c>
    </row>
    <row r="133" spans="1:6" hidden="1">
      <c r="A133" s="57">
        <v>142214</v>
      </c>
      <c r="B133" s="58" t="s">
        <v>166</v>
      </c>
      <c r="C133" s="54">
        <v>24000</v>
      </c>
      <c r="D133" s="54">
        <v>2000</v>
      </c>
      <c r="E133" s="144"/>
      <c r="F133" t="e" cm="1">
        <f t="array" aca="1" ref="F133" ca="1">ColorNumber(D133)</f>
        <v>#NAME?</v>
      </c>
    </row>
    <row r="134" spans="1:6" hidden="1">
      <c r="A134" s="57">
        <v>142217</v>
      </c>
      <c r="B134" s="58" t="s">
        <v>167</v>
      </c>
      <c r="C134" s="54">
        <v>6000</v>
      </c>
      <c r="D134" s="54">
        <v>500</v>
      </c>
      <c r="E134" s="144"/>
      <c r="F134" t="e" cm="1">
        <f t="array" aca="1" ref="F134" ca="1">ColorNumber(D134)</f>
        <v>#NAME?</v>
      </c>
    </row>
    <row r="135" spans="1:6" hidden="1">
      <c r="A135" s="57">
        <v>142222</v>
      </c>
      <c r="B135" s="58" t="s">
        <v>168</v>
      </c>
      <c r="C135" s="54">
        <v>6000</v>
      </c>
      <c r="D135" s="54">
        <v>500</v>
      </c>
      <c r="E135" s="144"/>
      <c r="F135" t="e" cm="1">
        <f t="array" aca="1" ref="F135" ca="1">ColorNumber(D135)</f>
        <v>#NAME?</v>
      </c>
    </row>
    <row r="136" spans="1:6" hidden="1">
      <c r="A136" s="57">
        <v>142229</v>
      </c>
      <c r="B136" s="58" t="s">
        <v>169</v>
      </c>
      <c r="C136" s="54">
        <v>150000</v>
      </c>
      <c r="D136" s="54">
        <v>12500</v>
      </c>
      <c r="E136" s="144"/>
      <c r="F136" t="e" cm="1">
        <f t="array" aca="1" ref="F136" ca="1">ColorNumber(D136)</f>
        <v>#NAME?</v>
      </c>
    </row>
    <row r="137" spans="1:6" hidden="1">
      <c r="A137" s="57">
        <v>142231</v>
      </c>
      <c r="B137" s="58" t="s">
        <v>170</v>
      </c>
      <c r="C137" s="54">
        <v>450000</v>
      </c>
      <c r="D137" s="54">
        <v>37500</v>
      </c>
      <c r="E137" s="144"/>
      <c r="F137" t="e" cm="1">
        <f t="array" aca="1" ref="F137" ca="1">ColorNumber(D137)</f>
        <v>#NAME?</v>
      </c>
    </row>
    <row r="138" spans="1:6" hidden="1">
      <c r="A138" s="57">
        <v>142233</v>
      </c>
      <c r="B138" s="58" t="s">
        <v>171</v>
      </c>
      <c r="C138" s="54">
        <v>60000</v>
      </c>
      <c r="D138" s="54">
        <v>5000</v>
      </c>
      <c r="E138" s="144"/>
      <c r="F138" t="e" cm="1">
        <f t="array" aca="1" ref="F138" ca="1">ColorNumber(D138)</f>
        <v>#NAME?</v>
      </c>
    </row>
    <row r="139" spans="1:6" hidden="1">
      <c r="A139" s="57">
        <v>142234</v>
      </c>
      <c r="B139" s="58" t="s">
        <v>172</v>
      </c>
      <c r="C139" s="54">
        <v>6000</v>
      </c>
      <c r="D139" s="54">
        <v>500</v>
      </c>
      <c r="E139" s="144"/>
      <c r="F139" t="e" cm="1">
        <f t="array" aca="1" ref="F139" ca="1">ColorNumber(D139)</f>
        <v>#NAME?</v>
      </c>
    </row>
    <row r="140" spans="1:6" hidden="1">
      <c r="A140" s="57">
        <v>142235</v>
      </c>
      <c r="B140" s="58" t="s">
        <v>173</v>
      </c>
      <c r="C140" s="54">
        <v>6000</v>
      </c>
      <c r="D140" s="54">
        <v>500</v>
      </c>
      <c r="E140" s="144"/>
      <c r="F140" t="e" cm="1">
        <f t="array" aca="1" ref="F140" ca="1">ColorNumber(D140)</f>
        <v>#NAME?</v>
      </c>
    </row>
    <row r="141" spans="1:6" hidden="1">
      <c r="A141" s="57">
        <v>142236</v>
      </c>
      <c r="B141" s="58" t="s">
        <v>174</v>
      </c>
      <c r="C141" s="54">
        <v>6000</v>
      </c>
      <c r="D141" s="54">
        <v>500</v>
      </c>
      <c r="E141" s="144"/>
      <c r="F141" t="e" cm="1">
        <f t="array" aca="1" ref="F141" ca="1">ColorNumber(D141)</f>
        <v>#NAME?</v>
      </c>
    </row>
    <row r="142" spans="1:6" hidden="1">
      <c r="A142" s="57">
        <v>142237</v>
      </c>
      <c r="B142" s="58" t="s">
        <v>175</v>
      </c>
      <c r="C142" s="54">
        <v>6000</v>
      </c>
      <c r="D142" s="54">
        <v>500</v>
      </c>
      <c r="E142" s="144"/>
      <c r="F142" t="e" cm="1">
        <f t="array" aca="1" ref="F142" ca="1">ColorNumber(D142)</f>
        <v>#NAME?</v>
      </c>
    </row>
    <row r="143" spans="1:6" hidden="1">
      <c r="A143" s="57">
        <v>142238</v>
      </c>
      <c r="B143" s="58" t="s">
        <v>176</v>
      </c>
      <c r="C143" s="54">
        <v>12000</v>
      </c>
      <c r="D143" s="54">
        <v>1000</v>
      </c>
      <c r="E143" s="144"/>
      <c r="F143" t="e" cm="1">
        <f t="array" aca="1" ref="F143" ca="1">ColorNumber(D143)</f>
        <v>#NAME?</v>
      </c>
    </row>
    <row r="144" spans="1:6" hidden="1">
      <c r="A144" s="57">
        <v>142239</v>
      </c>
      <c r="B144" s="58" t="s">
        <v>177</v>
      </c>
      <c r="C144" s="54">
        <v>6000</v>
      </c>
      <c r="D144" s="54">
        <v>500</v>
      </c>
      <c r="E144" s="144"/>
      <c r="F144" t="e" cm="1">
        <f t="array" aca="1" ref="F144" ca="1">ColorNumber(D144)</f>
        <v>#NAME?</v>
      </c>
    </row>
    <row r="145" spans="1:6" hidden="1">
      <c r="A145" s="57">
        <v>142240</v>
      </c>
      <c r="B145" s="58" t="s">
        <v>178</v>
      </c>
      <c r="C145" s="54">
        <v>12000</v>
      </c>
      <c r="D145" s="54">
        <v>1000</v>
      </c>
      <c r="E145" s="144"/>
      <c r="F145" t="e" cm="1">
        <f t="array" aca="1" ref="F145" ca="1">ColorNumber(D145)</f>
        <v>#NAME?</v>
      </c>
    </row>
    <row r="146" spans="1:6" hidden="1">
      <c r="A146" s="57">
        <v>142241</v>
      </c>
      <c r="B146" s="58" t="s">
        <v>179</v>
      </c>
      <c r="C146" s="54">
        <v>24000</v>
      </c>
      <c r="D146" s="54">
        <v>2000</v>
      </c>
      <c r="E146" s="144"/>
      <c r="F146" t="e" cm="1">
        <f t="array" aca="1" ref="F146" ca="1">ColorNumber(D146)</f>
        <v>#NAME?</v>
      </c>
    </row>
    <row r="147" spans="1:6" hidden="1">
      <c r="A147" s="57">
        <v>142243</v>
      </c>
      <c r="B147" s="58" t="s">
        <v>180</v>
      </c>
      <c r="C147" s="54">
        <v>18000</v>
      </c>
      <c r="D147" s="54">
        <v>1500</v>
      </c>
      <c r="E147" s="144"/>
      <c r="F147" t="e" cm="1">
        <f t="array" aca="1" ref="F147" ca="1">ColorNumber(D147)</f>
        <v>#NAME?</v>
      </c>
    </row>
    <row r="148" spans="1:6" hidden="1">
      <c r="A148" s="57">
        <v>142244</v>
      </c>
      <c r="B148" s="58" t="s">
        <v>181</v>
      </c>
      <c r="C148" s="54">
        <v>72000</v>
      </c>
      <c r="D148" s="54">
        <v>6000</v>
      </c>
      <c r="E148" s="144"/>
      <c r="F148" t="e" cm="1">
        <f t="array" aca="1" ref="F148" ca="1">ColorNumber(D148)</f>
        <v>#NAME?</v>
      </c>
    </row>
    <row r="149" spans="1:6" hidden="1">
      <c r="A149" s="57">
        <v>142246</v>
      </c>
      <c r="B149" s="58" t="s">
        <v>182</v>
      </c>
      <c r="C149" s="54">
        <v>3000</v>
      </c>
      <c r="D149" s="54">
        <v>250</v>
      </c>
      <c r="E149" s="144"/>
      <c r="F149" t="e" cm="1">
        <f t="array" aca="1" ref="F149" ca="1">ColorNumber(D149)</f>
        <v>#NAME?</v>
      </c>
    </row>
    <row r="150" spans="1:6" hidden="1">
      <c r="A150" s="57">
        <v>142247</v>
      </c>
      <c r="B150" s="58" t="s">
        <v>183</v>
      </c>
      <c r="C150" s="54">
        <v>24000</v>
      </c>
      <c r="D150" s="54">
        <v>2000</v>
      </c>
      <c r="E150" s="144"/>
      <c r="F150" t="e" cm="1">
        <f t="array" aca="1" ref="F150" ca="1">ColorNumber(D150)</f>
        <v>#NAME?</v>
      </c>
    </row>
    <row r="151" spans="1:6" hidden="1">
      <c r="A151" s="57">
        <v>142248</v>
      </c>
      <c r="B151" s="58" t="s">
        <v>184</v>
      </c>
      <c r="C151" s="54">
        <v>3000</v>
      </c>
      <c r="D151" s="54">
        <v>250</v>
      </c>
      <c r="E151" s="144"/>
      <c r="F151" t="e" cm="1">
        <f t="array" aca="1" ref="F151" ca="1">ColorNumber(D151)</f>
        <v>#NAME?</v>
      </c>
    </row>
    <row r="152" spans="1:6" hidden="1">
      <c r="A152" s="57">
        <v>142249</v>
      </c>
      <c r="B152" s="58" t="s">
        <v>185</v>
      </c>
      <c r="C152" s="54">
        <v>12000</v>
      </c>
      <c r="D152" s="54">
        <v>1000</v>
      </c>
      <c r="E152" s="144"/>
      <c r="F152" t="e" cm="1">
        <f t="array" aca="1" ref="F152" ca="1">ColorNumber(D152)</f>
        <v>#NAME?</v>
      </c>
    </row>
    <row r="153" spans="1:6" hidden="1">
      <c r="A153" s="57">
        <v>142250</v>
      </c>
      <c r="B153" s="58" t="s">
        <v>186</v>
      </c>
      <c r="C153" s="54">
        <v>60000</v>
      </c>
      <c r="D153" s="54">
        <v>5000</v>
      </c>
      <c r="E153" s="144"/>
      <c r="F153" t="e" cm="1">
        <f t="array" aca="1" ref="F153" ca="1">ColorNumber(D153)</f>
        <v>#NAME?</v>
      </c>
    </row>
    <row r="154" spans="1:6" hidden="1">
      <c r="A154" s="57">
        <v>142251</v>
      </c>
      <c r="B154" s="58" t="s">
        <v>187</v>
      </c>
      <c r="C154" s="54">
        <v>60000</v>
      </c>
      <c r="D154" s="54">
        <v>5000</v>
      </c>
      <c r="E154" s="144"/>
      <c r="F154" t="e" cm="1">
        <f t="array" aca="1" ref="F154" ca="1">ColorNumber(D154)</f>
        <v>#NAME?</v>
      </c>
    </row>
    <row r="155" spans="1:6" hidden="1">
      <c r="A155" s="57">
        <v>142252</v>
      </c>
      <c r="B155" s="58" t="s">
        <v>188</v>
      </c>
      <c r="C155" s="54">
        <v>60000</v>
      </c>
      <c r="D155" s="54">
        <v>5000</v>
      </c>
      <c r="E155" s="144"/>
      <c r="F155" t="e" cm="1">
        <f t="array" aca="1" ref="F155" ca="1">ColorNumber(D155)</f>
        <v>#NAME?</v>
      </c>
    </row>
    <row r="156" spans="1:6" hidden="1">
      <c r="A156" s="57">
        <v>142253</v>
      </c>
      <c r="B156" s="58" t="s">
        <v>189</v>
      </c>
      <c r="C156" s="54">
        <v>36000</v>
      </c>
      <c r="D156" s="54">
        <v>3000</v>
      </c>
      <c r="E156" s="144"/>
      <c r="F156" t="e" cm="1">
        <f t="array" aca="1" ref="F156" ca="1">ColorNumber(D156)</f>
        <v>#NAME?</v>
      </c>
    </row>
    <row r="157" spans="1:6" hidden="1">
      <c r="A157" s="57">
        <v>142254</v>
      </c>
      <c r="B157" s="58" t="s">
        <v>190</v>
      </c>
      <c r="C157" s="54">
        <v>48000</v>
      </c>
      <c r="D157" s="54">
        <v>4000</v>
      </c>
      <c r="E157" s="144"/>
      <c r="F157" t="e" cm="1">
        <f t="array" aca="1" ref="F157" ca="1">ColorNumber(D157)</f>
        <v>#NAME?</v>
      </c>
    </row>
    <row r="158" spans="1:6" hidden="1">
      <c r="A158" s="57">
        <v>142255</v>
      </c>
      <c r="B158" s="58" t="s">
        <v>191</v>
      </c>
      <c r="C158" s="54">
        <v>24000</v>
      </c>
      <c r="D158" s="54">
        <v>2000</v>
      </c>
      <c r="E158" s="144"/>
      <c r="F158" t="e" cm="1">
        <f t="array" aca="1" ref="F158" ca="1">ColorNumber(D158)</f>
        <v>#NAME?</v>
      </c>
    </row>
    <row r="159" spans="1:6" hidden="1">
      <c r="A159" s="57">
        <v>142256</v>
      </c>
      <c r="B159" s="58" t="s">
        <v>255</v>
      </c>
      <c r="C159" s="54">
        <v>12000</v>
      </c>
      <c r="D159" s="54">
        <v>1000</v>
      </c>
      <c r="E159" s="144"/>
      <c r="F159" t="e" cm="1">
        <f t="array" aca="1" ref="F159" ca="1">ColorNumber(D159)</f>
        <v>#NAME?</v>
      </c>
    </row>
    <row r="160" spans="1:6" hidden="1">
      <c r="A160" s="57">
        <v>142257</v>
      </c>
      <c r="B160" s="58" t="s">
        <v>192</v>
      </c>
      <c r="C160" s="54">
        <v>12000</v>
      </c>
      <c r="D160" s="54">
        <v>1000</v>
      </c>
      <c r="E160" s="144"/>
      <c r="F160" t="e" cm="1">
        <f t="array" aca="1" ref="F160" ca="1">ColorNumber(D160)</f>
        <v>#NAME?</v>
      </c>
    </row>
    <row r="161" spans="1:7" hidden="1">
      <c r="A161" s="57">
        <v>142258</v>
      </c>
      <c r="B161" s="58" t="s">
        <v>193</v>
      </c>
      <c r="C161" s="54">
        <v>12000</v>
      </c>
      <c r="D161" s="54">
        <v>1000</v>
      </c>
      <c r="E161" s="144"/>
      <c r="F161" t="e" cm="1">
        <f t="array" aca="1" ref="F161" ca="1">ColorNumber(D161)</f>
        <v>#NAME?</v>
      </c>
    </row>
    <row r="162" spans="1:7" hidden="1">
      <c r="A162" s="57">
        <v>142262</v>
      </c>
      <c r="B162" s="58" t="s">
        <v>194</v>
      </c>
      <c r="C162" s="54">
        <v>12000</v>
      </c>
      <c r="D162" s="54">
        <v>1000</v>
      </c>
      <c r="E162" s="144"/>
      <c r="F162" t="e" cm="1">
        <f t="array" aca="1" ref="F162" ca="1">ColorNumber(D162)</f>
        <v>#NAME?</v>
      </c>
    </row>
    <row r="163" spans="1:7" hidden="1">
      <c r="A163" s="57">
        <v>142263</v>
      </c>
      <c r="B163" s="58" t="s">
        <v>195</v>
      </c>
      <c r="C163" s="54">
        <v>66000</v>
      </c>
      <c r="D163" s="54">
        <v>5500</v>
      </c>
      <c r="E163" s="144"/>
      <c r="F163" t="e" cm="1">
        <f t="array" aca="1" ref="F163" ca="1">ColorNumber(D163)</f>
        <v>#NAME?</v>
      </c>
    </row>
    <row r="164" spans="1:7">
      <c r="A164" s="72">
        <v>143</v>
      </c>
      <c r="B164" s="73" t="s">
        <v>256</v>
      </c>
      <c r="C164" s="93">
        <v>36000</v>
      </c>
      <c r="D164" s="156">
        <v>50076.39</v>
      </c>
      <c r="E164" s="159">
        <f>D164/12</f>
        <v>4173.0325000000003</v>
      </c>
      <c r="F164" s="163"/>
      <c r="G164" s="131"/>
    </row>
    <row r="165" spans="1:7" hidden="1">
      <c r="A165" s="74">
        <v>1431</v>
      </c>
      <c r="B165" s="75" t="s">
        <v>196</v>
      </c>
      <c r="C165" s="12">
        <v>36000</v>
      </c>
      <c r="D165" s="52">
        <v>3000</v>
      </c>
      <c r="E165" s="146"/>
      <c r="F165" t="e" cm="1">
        <f t="array" aca="1" ref="F165" ca="1">ColorNumber(D165)</f>
        <v>#NAME?</v>
      </c>
    </row>
    <row r="166" spans="1:7" hidden="1">
      <c r="A166" s="57">
        <v>143101</v>
      </c>
      <c r="B166" s="58" t="s">
        <v>197</v>
      </c>
      <c r="C166" s="54">
        <v>24000</v>
      </c>
      <c r="D166" s="54">
        <v>2000</v>
      </c>
      <c r="E166" s="144"/>
      <c r="F166" t="e" cm="1">
        <f t="array" aca="1" ref="F166" ca="1">ColorNumber(D166)</f>
        <v>#NAME?</v>
      </c>
    </row>
    <row r="167" spans="1:7" hidden="1">
      <c r="A167" s="57">
        <v>143102</v>
      </c>
      <c r="B167" s="58" t="s">
        <v>198</v>
      </c>
      <c r="C167" s="54">
        <v>12000</v>
      </c>
      <c r="D167" s="54">
        <v>1000</v>
      </c>
      <c r="E167" s="144"/>
      <c r="F167" t="e" cm="1">
        <f t="array" aca="1" ref="F167" ca="1">ColorNumber(D167)</f>
        <v>#NAME?</v>
      </c>
    </row>
    <row r="168" spans="1:7" s="51" customFormat="1">
      <c r="A168" s="68">
        <v>1</v>
      </c>
      <c r="B168" s="16" t="s">
        <v>85</v>
      </c>
      <c r="C168" s="17">
        <v>19812240</v>
      </c>
      <c r="D168" s="150">
        <f>D8</f>
        <v>16222526.312220167</v>
      </c>
      <c r="E168" s="158">
        <f>D168/12</f>
        <v>1351877.1926850139</v>
      </c>
      <c r="F168" s="163"/>
    </row>
    <row r="169" spans="1:7">
      <c r="F169" s="90"/>
      <c r="G169" s="87"/>
    </row>
    <row r="170" spans="1:7" ht="14.6">
      <c r="A170" s="406" t="s">
        <v>288</v>
      </c>
      <c r="B170" s="406"/>
      <c r="C170" s="406"/>
      <c r="D170" s="406"/>
      <c r="E170" s="207"/>
      <c r="F170" s="61"/>
    </row>
    <row r="171" spans="1:7" ht="25.75">
      <c r="A171" s="49" t="s">
        <v>2</v>
      </c>
      <c r="B171" s="50" t="s">
        <v>82</v>
      </c>
      <c r="C171" s="76" t="s">
        <v>84</v>
      </c>
      <c r="D171" s="182" t="s">
        <v>260</v>
      </c>
      <c r="E171" s="76" t="s">
        <v>282</v>
      </c>
      <c r="F171" s="61"/>
      <c r="G171" s="87"/>
    </row>
    <row r="172" spans="1:7">
      <c r="A172" s="77">
        <v>2</v>
      </c>
      <c r="B172" s="78" t="s">
        <v>199</v>
      </c>
      <c r="C172" s="59">
        <f>SUM(C173:C186)</f>
        <v>19812240</v>
      </c>
      <c r="D172" s="208">
        <f>SUM(D173:D186)</f>
        <v>16222526.308106372</v>
      </c>
      <c r="E172" s="209">
        <f>D172/12</f>
        <v>1351877.1923421978</v>
      </c>
    </row>
    <row r="173" spans="1:7">
      <c r="A173" s="79">
        <v>2111</v>
      </c>
      <c r="B173" s="80" t="s">
        <v>200</v>
      </c>
      <c r="C173" s="81">
        <v>9009720</v>
      </c>
      <c r="D173" s="160">
        <v>9085033.7653550785</v>
      </c>
      <c r="E173" s="161">
        <f t="shared" ref="E173:E187" si="3">D173/12</f>
        <v>757086.14711292321</v>
      </c>
      <c r="F173" s="88"/>
      <c r="G173" s="91"/>
    </row>
    <row r="174" spans="1:7">
      <c r="A174" s="79">
        <v>2113</v>
      </c>
      <c r="B174" s="80" t="s">
        <v>10</v>
      </c>
      <c r="C174" s="81">
        <v>5083788</v>
      </c>
      <c r="D174" s="160">
        <v>2345517.7470037257</v>
      </c>
      <c r="E174" s="161">
        <f t="shared" si="3"/>
        <v>195459.81225031047</v>
      </c>
      <c r="G174" s="91"/>
    </row>
    <row r="175" spans="1:7">
      <c r="A175" s="79">
        <v>2211</v>
      </c>
      <c r="B175" s="80" t="s">
        <v>17</v>
      </c>
      <c r="C175" s="81">
        <v>475212</v>
      </c>
      <c r="D175" s="160">
        <v>521011.5247157811</v>
      </c>
      <c r="E175" s="161">
        <f t="shared" si="3"/>
        <v>43417.627059648425</v>
      </c>
      <c r="F175" s="87"/>
      <c r="G175" s="91"/>
    </row>
    <row r="176" spans="1:7">
      <c r="A176" s="79">
        <v>2212</v>
      </c>
      <c r="B176" s="80" t="s">
        <v>21</v>
      </c>
      <c r="C176" s="81">
        <v>203400</v>
      </c>
      <c r="D176" s="160">
        <v>283625.8907463444</v>
      </c>
      <c r="E176" s="161">
        <f t="shared" si="3"/>
        <v>23635.490895528699</v>
      </c>
    </row>
    <row r="177" spans="1:6">
      <c r="A177" s="79">
        <v>2213</v>
      </c>
      <c r="B177" s="80" t="s">
        <v>201</v>
      </c>
      <c r="C177" s="81">
        <v>1311120</v>
      </c>
      <c r="D177" s="160">
        <v>1070301.51</v>
      </c>
      <c r="E177" s="161">
        <f t="shared" si="3"/>
        <v>89191.792499999996</v>
      </c>
    </row>
    <row r="178" spans="1:6">
      <c r="A178" s="79">
        <v>2214</v>
      </c>
      <c r="B178" s="80" t="s">
        <v>202</v>
      </c>
      <c r="C178" s="81">
        <v>1018800</v>
      </c>
      <c r="D178" s="160">
        <v>739455.78879275534</v>
      </c>
      <c r="E178" s="161">
        <f t="shared" si="3"/>
        <v>61621.315732729614</v>
      </c>
    </row>
    <row r="179" spans="1:6">
      <c r="A179" s="79">
        <v>2215</v>
      </c>
      <c r="B179" s="80" t="s">
        <v>26</v>
      </c>
      <c r="C179" s="81">
        <v>101400</v>
      </c>
      <c r="D179" s="160">
        <v>119500</v>
      </c>
      <c r="E179" s="161">
        <f t="shared" si="3"/>
        <v>9958.3333333333339</v>
      </c>
    </row>
    <row r="180" spans="1:6">
      <c r="A180" s="79">
        <v>2242</v>
      </c>
      <c r="B180" s="80" t="s">
        <v>303</v>
      </c>
      <c r="C180" s="81">
        <v>132000</v>
      </c>
      <c r="D180" s="160">
        <v>207000</v>
      </c>
      <c r="E180" s="161">
        <f t="shared" si="3"/>
        <v>17250</v>
      </c>
    </row>
    <row r="181" spans="1:6">
      <c r="A181" s="79">
        <v>2251</v>
      </c>
      <c r="B181" s="80" t="s">
        <v>301</v>
      </c>
      <c r="C181" s="81">
        <v>0</v>
      </c>
      <c r="D181" s="160">
        <v>94000</v>
      </c>
      <c r="E181" s="161">
        <f t="shared" si="3"/>
        <v>7833.333333333333</v>
      </c>
    </row>
    <row r="182" spans="1:6">
      <c r="A182" s="79">
        <v>2261</v>
      </c>
      <c r="B182" s="80" t="s">
        <v>28</v>
      </c>
      <c r="C182" s="81">
        <v>990900</v>
      </c>
      <c r="D182" s="160">
        <v>624526.60795585276</v>
      </c>
      <c r="E182" s="161">
        <f t="shared" si="3"/>
        <v>52043.883996321063</v>
      </c>
    </row>
    <row r="183" spans="1:6">
      <c r="A183" s="79">
        <v>2271</v>
      </c>
      <c r="B183" s="80" t="s">
        <v>29</v>
      </c>
      <c r="C183" s="81">
        <v>603900</v>
      </c>
      <c r="D183" s="160">
        <v>611583.64353683614</v>
      </c>
      <c r="E183" s="161">
        <f t="shared" si="3"/>
        <v>50965.303628069676</v>
      </c>
    </row>
    <row r="184" spans="1:6">
      <c r="A184" s="79">
        <v>2272</v>
      </c>
      <c r="B184" s="80" t="s">
        <v>31</v>
      </c>
      <c r="C184" s="81">
        <v>402000</v>
      </c>
      <c r="D184" s="160">
        <v>340969.83</v>
      </c>
      <c r="E184" s="161">
        <f t="shared" si="3"/>
        <v>28414.1525</v>
      </c>
    </row>
    <row r="185" spans="1:6">
      <c r="A185" s="210">
        <v>2631</v>
      </c>
      <c r="B185" s="80" t="s">
        <v>302</v>
      </c>
      <c r="C185" s="81">
        <v>240000</v>
      </c>
      <c r="D185" s="212">
        <v>60000</v>
      </c>
      <c r="E185" s="161">
        <f t="shared" si="3"/>
        <v>5000</v>
      </c>
      <c r="F185" s="87"/>
    </row>
    <row r="186" spans="1:6">
      <c r="A186" s="210">
        <v>2711</v>
      </c>
      <c r="B186" s="80" t="s">
        <v>300</v>
      </c>
      <c r="C186" s="81">
        <v>240000</v>
      </c>
      <c r="D186" s="212">
        <v>120000</v>
      </c>
      <c r="E186" s="161">
        <f t="shared" si="3"/>
        <v>10000</v>
      </c>
    </row>
    <row r="187" spans="1:6">
      <c r="A187" s="77"/>
      <c r="B187" s="211" t="s">
        <v>199</v>
      </c>
      <c r="C187" s="213">
        <f>SUM(C173:C186)</f>
        <v>19812240</v>
      </c>
      <c r="D187" s="208">
        <f>D172</f>
        <v>16222526.308106372</v>
      </c>
      <c r="E187" s="209">
        <f t="shared" si="3"/>
        <v>1351877.1923421978</v>
      </c>
      <c r="F187" s="61"/>
    </row>
    <row r="188" spans="1:6" ht="14.6">
      <c r="A188" s="82"/>
      <c r="B188" s="83"/>
      <c r="C188" s="84"/>
      <c r="D188" s="84"/>
      <c r="E188" s="84"/>
    </row>
    <row r="189" spans="1:6" ht="14.6">
      <c r="A189" s="82"/>
      <c r="B189" s="110"/>
      <c r="C189"/>
      <c r="D189" s="84"/>
      <c r="E189" s="84"/>
    </row>
    <row r="190" spans="1:6">
      <c r="B190" s="111"/>
      <c r="C190"/>
    </row>
    <row r="191" spans="1:6">
      <c r="C191"/>
    </row>
    <row r="192" spans="1:6">
      <c r="C192" s="99"/>
    </row>
    <row r="193" spans="2:7">
      <c r="C193" s="99"/>
    </row>
    <row r="194" spans="2:7">
      <c r="C194" s="99"/>
    </row>
    <row r="195" spans="2:7">
      <c r="C195"/>
    </row>
    <row r="196" spans="2:7">
      <c r="C196"/>
    </row>
    <row r="197" spans="2:7">
      <c r="C197"/>
    </row>
    <row r="198" spans="2:7">
      <c r="B198" s="100"/>
    </row>
    <row r="199" spans="2:7">
      <c r="B199" s="103"/>
    </row>
    <row r="200" spans="2:7">
      <c r="B200" s="91"/>
      <c r="C200" s="101"/>
    </row>
    <row r="201" spans="2:7">
      <c r="B201" s="91"/>
      <c r="C201" s="101"/>
    </row>
    <row r="202" spans="2:7">
      <c r="B202" s="91"/>
      <c r="C202" s="101"/>
    </row>
    <row r="203" spans="2:7">
      <c r="B203" s="46"/>
      <c r="C203" s="101"/>
      <c r="G203" s="51"/>
    </row>
    <row r="204" spans="2:7">
      <c r="B204" s="46"/>
      <c r="C204" s="101"/>
      <c r="G204" s="91"/>
    </row>
    <row r="205" spans="2:7">
      <c r="B205" s="46"/>
      <c r="C205" s="101"/>
      <c r="G205" s="91"/>
    </row>
    <row r="206" spans="2:7">
      <c r="B206" s="46"/>
      <c r="C206" s="101"/>
      <c r="G206" s="91"/>
    </row>
    <row r="207" spans="2:7">
      <c r="B207" s="46"/>
      <c r="C207" s="101"/>
    </row>
    <row r="208" spans="2:7">
      <c r="B208" s="46"/>
      <c r="C208" s="101"/>
    </row>
    <row r="209" spans="2:3">
      <c r="B209" s="46"/>
      <c r="C209" s="101"/>
    </row>
    <row r="210" spans="2:3">
      <c r="B210" s="46"/>
      <c r="C210" s="101"/>
    </row>
    <row r="211" spans="2:3">
      <c r="B211" s="46"/>
      <c r="C211" s="101"/>
    </row>
    <row r="212" spans="2:3">
      <c r="B212" s="46"/>
      <c r="C212" s="101"/>
    </row>
    <row r="213" spans="2:3">
      <c r="B213" s="46"/>
      <c r="C213" s="101"/>
    </row>
    <row r="214" spans="2:3">
      <c r="B214" s="46"/>
      <c r="C214" s="101"/>
    </row>
    <row r="215" spans="2:3">
      <c r="B215" s="46"/>
      <c r="C215" s="101"/>
    </row>
    <row r="216" spans="2:3">
      <c r="B216" s="46"/>
      <c r="C216" s="101"/>
    </row>
    <row r="217" spans="2:3">
      <c r="B217" s="46"/>
    </row>
    <row r="218" spans="2:3">
      <c r="B218" s="46"/>
      <c r="C218" s="101"/>
    </row>
    <row r="219" spans="2:3">
      <c r="B219" s="46"/>
      <c r="C219" s="101"/>
    </row>
    <row r="220" spans="2:3">
      <c r="B220" s="46"/>
      <c r="C220" s="101"/>
    </row>
    <row r="221" spans="2:3">
      <c r="B221" s="46"/>
      <c r="C221" s="101"/>
    </row>
    <row r="222" spans="2:3">
      <c r="B222" s="46"/>
      <c r="C222" s="101"/>
    </row>
    <row r="223" spans="2:3">
      <c r="B223" s="46"/>
      <c r="C223" s="101"/>
    </row>
    <row r="225" spans="2:7">
      <c r="B225" s="102"/>
    </row>
    <row r="226" spans="2:7">
      <c r="B226" s="91"/>
    </row>
    <row r="227" spans="2:7">
      <c r="B227" s="91"/>
    </row>
    <row r="228" spans="2:7">
      <c r="B228" s="91"/>
    </row>
    <row r="229" spans="2:7">
      <c r="B229" s="46"/>
      <c r="G229" s="109"/>
    </row>
    <row r="230" spans="2:7">
      <c r="B230" s="46"/>
      <c r="G230" s="91"/>
    </row>
    <row r="231" spans="2:7">
      <c r="B231" s="46"/>
      <c r="G231" s="91"/>
    </row>
    <row r="232" spans="2:7">
      <c r="B232" s="46"/>
      <c r="F232" s="98"/>
      <c r="G232" s="91"/>
    </row>
    <row r="233" spans="2:7">
      <c r="B233" s="46"/>
    </row>
    <row r="234" spans="2:7">
      <c r="B234" s="46"/>
    </row>
    <row r="235" spans="2:7">
      <c r="B235" s="46"/>
    </row>
    <row r="236" spans="2:7">
      <c r="B236" s="46"/>
    </row>
    <row r="237" spans="2:7">
      <c r="B237" s="46"/>
    </row>
    <row r="238" spans="2:7">
      <c r="B238" s="46"/>
    </row>
    <row r="239" spans="2:7">
      <c r="B239" s="46"/>
    </row>
    <row r="240" spans="2:7">
      <c r="B240" s="46"/>
    </row>
    <row r="241" spans="1:7">
      <c r="B241" s="46"/>
    </row>
    <row r="242" spans="1:7">
      <c r="B242" s="46"/>
    </row>
    <row r="243" spans="1:7">
      <c r="B243" s="46"/>
    </row>
    <row r="244" spans="1:7">
      <c r="B244" s="46"/>
    </row>
    <row r="245" spans="1:7">
      <c r="B245" s="46"/>
    </row>
    <row r="246" spans="1:7">
      <c r="B246" s="46"/>
    </row>
    <row r="247" spans="1:7">
      <c r="B247" s="46"/>
    </row>
    <row r="248" spans="1:7">
      <c r="B248" s="46"/>
    </row>
    <row r="249" spans="1:7">
      <c r="B249" s="46"/>
    </row>
    <row r="251" spans="1:7">
      <c r="B251" s="103"/>
    </row>
    <row r="252" spans="1:7">
      <c r="B252" s="91"/>
      <c r="C252" s="101"/>
      <c r="D252" s="101"/>
      <c r="E252" s="101"/>
    </row>
    <row r="253" spans="1:7">
      <c r="B253" s="91"/>
      <c r="C253" s="101"/>
      <c r="D253" s="101"/>
      <c r="E253" s="101"/>
    </row>
    <row r="254" spans="1:7">
      <c r="B254" s="91"/>
      <c r="C254" s="101"/>
      <c r="D254" s="101"/>
      <c r="E254" s="101"/>
    </row>
    <row r="255" spans="1:7">
      <c r="A255" s="104"/>
      <c r="B255" s="105"/>
      <c r="C255" s="106"/>
      <c r="D255" s="106"/>
      <c r="E255" s="106"/>
      <c r="G255" s="51"/>
    </row>
    <row r="256" spans="1:7">
      <c r="B256" s="46"/>
      <c r="C256" s="101"/>
      <c r="D256" s="101"/>
      <c r="E256" s="101"/>
      <c r="G256" s="91"/>
    </row>
    <row r="257" spans="2:7">
      <c r="B257" s="46"/>
      <c r="C257" s="108"/>
      <c r="D257" s="108"/>
      <c r="E257" s="108"/>
      <c r="G257" s="91"/>
    </row>
    <row r="258" spans="2:7">
      <c r="B258" s="46"/>
      <c r="C258" s="108"/>
      <c r="D258" s="108"/>
      <c r="E258" s="108"/>
      <c r="G258" s="91"/>
    </row>
    <row r="259" spans="2:7">
      <c r="B259" s="46"/>
      <c r="C259" s="101"/>
      <c r="D259" s="101"/>
      <c r="E259" s="101"/>
    </row>
    <row r="260" spans="2:7">
      <c r="B260" s="46"/>
      <c r="C260" s="101"/>
      <c r="D260" s="101"/>
      <c r="E260" s="101"/>
    </row>
    <row r="261" spans="2:7">
      <c r="B261" s="46"/>
      <c r="C261" s="101"/>
      <c r="D261" s="101"/>
      <c r="E261" s="101"/>
      <c r="F261" s="87"/>
    </row>
    <row r="262" spans="2:7">
      <c r="B262" s="107"/>
      <c r="C262" s="108"/>
      <c r="D262" s="108"/>
      <c r="E262" s="108"/>
      <c r="F262" s="87"/>
    </row>
    <row r="263" spans="2:7">
      <c r="B263" s="107"/>
      <c r="C263" s="108"/>
      <c r="D263" s="108"/>
      <c r="E263" s="108"/>
      <c r="F263" s="98"/>
    </row>
    <row r="264" spans="2:7">
      <c r="B264" s="107"/>
      <c r="C264" s="108"/>
      <c r="D264" s="108"/>
      <c r="E264" s="108"/>
    </row>
    <row r="265" spans="2:7">
      <c r="B265" s="46"/>
      <c r="C265" s="101"/>
      <c r="D265" s="101"/>
      <c r="E265" s="101"/>
    </row>
    <row r="266" spans="2:7">
      <c r="B266" s="107"/>
      <c r="C266" s="108"/>
      <c r="D266" s="108"/>
      <c r="E266" s="108"/>
    </row>
    <row r="267" spans="2:7">
      <c r="B267" s="46"/>
      <c r="C267" s="101"/>
      <c r="D267" s="101"/>
      <c r="E267" s="101"/>
    </row>
    <row r="268" spans="2:7">
      <c r="B268" s="46"/>
      <c r="C268" s="101"/>
      <c r="D268" s="101"/>
      <c r="E268" s="101"/>
    </row>
    <row r="269" spans="2:7">
      <c r="B269" s="46"/>
      <c r="C269" s="101"/>
      <c r="D269" s="101"/>
      <c r="E269" s="101"/>
    </row>
    <row r="270" spans="2:7">
      <c r="B270" s="105"/>
      <c r="C270" s="106"/>
      <c r="D270" s="106"/>
      <c r="E270" s="106"/>
      <c r="F270" s="105"/>
    </row>
    <row r="271" spans="2:7">
      <c r="B271" s="46"/>
      <c r="C271" s="101"/>
      <c r="D271" s="101"/>
      <c r="E271" s="101"/>
    </row>
    <row r="272" spans="2:7">
      <c r="B272" s="46"/>
      <c r="C272" s="101"/>
      <c r="D272" s="101"/>
      <c r="E272" s="101"/>
    </row>
    <row r="273" spans="2:6">
      <c r="B273" s="46"/>
      <c r="C273" s="101"/>
      <c r="D273" s="101"/>
      <c r="E273" s="101"/>
    </row>
    <row r="274" spans="2:6">
      <c r="B274" s="105"/>
      <c r="C274" s="106"/>
      <c r="D274" s="106"/>
      <c r="E274" s="106"/>
    </row>
    <row r="275" spans="2:6">
      <c r="B275" s="46"/>
      <c r="C275" s="101"/>
      <c r="D275" s="101"/>
      <c r="E275" s="101"/>
    </row>
    <row r="276" spans="2:6">
      <c r="C276" s="112"/>
    </row>
    <row r="277" spans="2:6">
      <c r="C277" s="91"/>
      <c r="F277" s="87"/>
    </row>
    <row r="278" spans="2:6">
      <c r="C278" s="91"/>
    </row>
    <row r="279" spans="2:6">
      <c r="C279" s="91"/>
    </row>
    <row r="280" spans="2:6">
      <c r="C280" s="46"/>
    </row>
    <row r="281" spans="2:6">
      <c r="C281" s="46"/>
    </row>
    <row r="282" spans="2:6">
      <c r="C282" s="46"/>
    </row>
    <row r="283" spans="2:6">
      <c r="C283" s="46"/>
    </row>
    <row r="284" spans="2:6">
      <c r="C284" s="46"/>
    </row>
    <row r="285" spans="2:6">
      <c r="C285" s="46"/>
    </row>
    <row r="286" spans="2:6">
      <c r="C286" s="46"/>
    </row>
    <row r="287" spans="2:6">
      <c r="C287" s="46"/>
    </row>
    <row r="288" spans="2:6">
      <c r="C288" s="46"/>
    </row>
    <row r="289" spans="2:6">
      <c r="C289" s="46"/>
    </row>
    <row r="290" spans="2:6">
      <c r="C290" s="46"/>
    </row>
    <row r="291" spans="2:6">
      <c r="B291" s="100"/>
      <c r="C291" s="46"/>
    </row>
    <row r="292" spans="2:6">
      <c r="C292" s="46"/>
    </row>
    <row r="293" spans="2:6">
      <c r="C293" s="46"/>
    </row>
    <row r="294" spans="2:6">
      <c r="C294" s="46"/>
    </row>
    <row r="295" spans="2:6">
      <c r="C295" s="46"/>
    </row>
    <row r="296" spans="2:6">
      <c r="C296" s="46"/>
    </row>
    <row r="297" spans="2:6">
      <c r="C297" s="46"/>
    </row>
    <row r="298" spans="2:6">
      <c r="C298" s="46"/>
    </row>
    <row r="299" spans="2:6">
      <c r="C299" s="46"/>
    </row>
    <row r="300" spans="2:6">
      <c r="C300" s="46"/>
    </row>
    <row r="303" spans="2:6">
      <c r="F303" s="87"/>
    </row>
  </sheetData>
  <autoFilter ref="A7:F167">
    <filterColumn colId="5">
      <filters>
        <filter val="15"/>
        <filter val="40"/>
        <filter val="42"/>
      </filters>
    </filterColumn>
  </autoFilter>
  <mergeCells count="6">
    <mergeCell ref="A170:D170"/>
    <mergeCell ref="A1:D1"/>
    <mergeCell ref="A2:D2"/>
    <mergeCell ref="A3:D3"/>
    <mergeCell ref="A4:D4"/>
    <mergeCell ref="A6:D6"/>
  </mergeCells>
  <printOptions horizontalCentered="1"/>
  <pageMargins left="0.7" right="0.7" top="0.75" bottom="0.75" header="0.3" footer="0.3"/>
  <pageSetup paperSize="9" scale="97" firstPageNumber="8" fitToHeight="0" orientation="portrait" r:id="rId1"/>
  <headerFooter scaleWithDoc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H201"/>
  <sheetViews>
    <sheetView topLeftCell="A194" zoomScale="130" zoomScaleNormal="85" workbookViewId="0">
      <selection activeCell="A200" sqref="A200"/>
    </sheetView>
  </sheetViews>
  <sheetFormatPr defaultColWidth="8.81640625" defaultRowHeight="12.9"/>
  <cols>
    <col min="1" max="1" width="7.1796875" style="44" customWidth="1"/>
    <col min="2" max="2" width="57.81640625" style="45" bestFit="1" customWidth="1"/>
    <col min="3" max="3" width="15" style="60" hidden="1" customWidth="1"/>
    <col min="4" max="4" width="19.26953125" style="60" customWidth="1"/>
    <col min="5" max="6" width="15.81640625" style="60" customWidth="1"/>
    <col min="7" max="7" width="9.7265625" style="46" bestFit="1" customWidth="1"/>
    <col min="8" max="8" width="13.81640625" style="46" bestFit="1" customWidth="1"/>
    <col min="9" max="16384" width="8.81640625" style="46"/>
  </cols>
  <sheetData>
    <row r="1" spans="1:7" s="64" customFormat="1" ht="16.5" customHeight="1">
      <c r="A1" s="410" t="s">
        <v>278</v>
      </c>
      <c r="B1" s="410"/>
      <c r="C1" s="411"/>
      <c r="D1" s="410"/>
      <c r="E1" s="410"/>
      <c r="F1" s="179"/>
    </row>
    <row r="2" spans="1:7" s="64" customFormat="1" ht="14.25" customHeight="1">
      <c r="A2" s="412" t="s">
        <v>286</v>
      </c>
      <c r="B2" s="413"/>
      <c r="C2" s="414"/>
      <c r="D2" s="413"/>
      <c r="E2" s="415"/>
      <c r="F2" s="180"/>
    </row>
    <row r="3" spans="1:7" s="64" customFormat="1" ht="14.25" customHeight="1">
      <c r="A3" s="416" t="s">
        <v>257</v>
      </c>
      <c r="B3" s="417"/>
      <c r="C3" s="418"/>
      <c r="D3" s="417"/>
      <c r="E3" s="419"/>
      <c r="F3" s="180"/>
    </row>
    <row r="4" spans="1:7" s="48" customFormat="1" ht="15" customHeight="1">
      <c r="A4" s="420" t="s">
        <v>277</v>
      </c>
      <c r="B4" s="420"/>
      <c r="C4" s="421"/>
      <c r="D4" s="420"/>
      <c r="E4" s="420"/>
      <c r="F4" s="181"/>
      <c r="G4" s="47"/>
    </row>
    <row r="5" spans="1:7" ht="39" customHeight="1">
      <c r="A5" s="49" t="s">
        <v>2</v>
      </c>
      <c r="B5" s="50" t="s">
        <v>82</v>
      </c>
      <c r="C5" s="76" t="s">
        <v>83</v>
      </c>
      <c r="D5" s="76" t="s">
        <v>84</v>
      </c>
      <c r="E5" s="182" t="s">
        <v>260</v>
      </c>
      <c r="F5" s="76" t="s">
        <v>281</v>
      </c>
      <c r="G5" s="46" t="s">
        <v>68</v>
      </c>
    </row>
    <row r="6" spans="1:7" s="51" customFormat="1">
      <c r="A6" s="68">
        <v>1</v>
      </c>
      <c r="B6" s="16" t="s">
        <v>85</v>
      </c>
      <c r="C6" s="17" t="e">
        <f>C7+C110+C118+C131</f>
        <v>#REF!</v>
      </c>
      <c r="D6" s="17">
        <v>19812240</v>
      </c>
      <c r="E6" s="150" t="e">
        <f>E7+E110+E114+E131</f>
        <v>#REF!</v>
      </c>
      <c r="F6" s="158" t="e">
        <f t="shared" ref="F6:F25" si="0">E6/12</f>
        <v>#REF!</v>
      </c>
      <c r="G6" t="e" cm="1">
        <f t="array" aca="1" ref="G6" ca="1">ColorNumber(E6)</f>
        <v>#NAME?</v>
      </c>
    </row>
    <row r="7" spans="1:7" s="51" customFormat="1">
      <c r="A7" s="2">
        <v>11</v>
      </c>
      <c r="B7" s="7" t="s">
        <v>86</v>
      </c>
      <c r="C7" s="8" t="e">
        <f>C8+C19+C22+C31+C58+C103</f>
        <v>#REF!</v>
      </c>
      <c r="D7" s="8">
        <f>D8+D19+D22+D31+D58+D103</f>
        <v>7056240</v>
      </c>
      <c r="E7" s="151" t="e">
        <f>E8+E19+E22+E31+E58+E103</f>
        <v>#REF!</v>
      </c>
      <c r="F7" s="172" t="e">
        <f t="shared" si="0"/>
        <v>#REF!</v>
      </c>
      <c r="G7" t="e" cm="1">
        <f t="array" aca="1" ref="G7" ca="1">ColorNumber(E7)</f>
        <v>#NAME?</v>
      </c>
    </row>
    <row r="8" spans="1:7" s="51" customFormat="1">
      <c r="A8" s="3">
        <v>111</v>
      </c>
      <c r="B8" s="9" t="s">
        <v>87</v>
      </c>
      <c r="C8" s="10">
        <f>C9+C13</f>
        <v>1267000</v>
      </c>
      <c r="D8" s="10">
        <f>D9+D13</f>
        <v>672000</v>
      </c>
      <c r="E8" s="170">
        <f>E9+E13</f>
        <v>528522.46378125006</v>
      </c>
      <c r="F8" s="62">
        <f t="shared" si="0"/>
        <v>44043.538648437505</v>
      </c>
      <c r="G8" t="e" cm="1">
        <f t="array" aca="1" ref="G8" ca="1">ColorNumber(E8)</f>
        <v>#NAME?</v>
      </c>
    </row>
    <row r="9" spans="1:7" s="51" customFormat="1">
      <c r="A9" s="1">
        <v>1111</v>
      </c>
      <c r="B9" s="11" t="s">
        <v>88</v>
      </c>
      <c r="C9" s="12">
        <f>SUBTOTAL(9,C10:C12)</f>
        <v>377000</v>
      </c>
      <c r="D9" s="12">
        <f>SUBTOTAL(9,D10:D12)</f>
        <v>516000</v>
      </c>
      <c r="E9" s="183">
        <f>SUM(E10:E12)</f>
        <v>146004.55565625001</v>
      </c>
      <c r="F9" s="52">
        <f t="shared" si="0"/>
        <v>12167.046304687501</v>
      </c>
      <c r="G9" t="e" cm="1">
        <f t="array" aca="1" ref="G9" ca="1">ColorNumber(E9)</f>
        <v>#NAME?</v>
      </c>
    </row>
    <row r="10" spans="1:7">
      <c r="A10" s="4">
        <v>111101</v>
      </c>
      <c r="B10" s="53" t="s">
        <v>89</v>
      </c>
      <c r="C10" s="54">
        <v>89000</v>
      </c>
      <c r="D10" s="54">
        <v>360000</v>
      </c>
      <c r="E10" s="184">
        <v>21024.474875</v>
      </c>
      <c r="F10" s="54">
        <f t="shared" si="0"/>
        <v>1752.0395729166667</v>
      </c>
      <c r="G10" t="e" cm="1">
        <f t="array" aca="1" ref="G10" ca="1">ColorNumber(E10)</f>
        <v>#NAME?</v>
      </c>
    </row>
    <row r="11" spans="1:7">
      <c r="A11" s="4">
        <v>111102</v>
      </c>
      <c r="B11" s="53" t="s">
        <v>90</v>
      </c>
      <c r="C11" s="54">
        <v>288000</v>
      </c>
      <c r="D11" s="54">
        <v>120000</v>
      </c>
      <c r="E11" s="184">
        <v>119723.35078124999</v>
      </c>
      <c r="F11" s="54">
        <f t="shared" si="0"/>
        <v>9976.9458984374996</v>
      </c>
      <c r="G11" t="e" cm="1">
        <f t="array" aca="1" ref="G11" ca="1">ColorNumber(E11)</f>
        <v>#NAME?</v>
      </c>
    </row>
    <row r="12" spans="1:7">
      <c r="A12" s="4">
        <v>111103</v>
      </c>
      <c r="B12" s="53" t="s">
        <v>91</v>
      </c>
      <c r="C12" s="54">
        <v>0</v>
      </c>
      <c r="D12" s="54">
        <v>36000</v>
      </c>
      <c r="E12" s="184">
        <v>5256.73</v>
      </c>
      <c r="F12" s="54">
        <f t="shared" si="0"/>
        <v>438.06083333333328</v>
      </c>
      <c r="G12" t="e" cm="1">
        <f t="array" aca="1" ref="G12" ca="1">ColorNumber(E12)</f>
        <v>#NAME?</v>
      </c>
    </row>
    <row r="13" spans="1:7" s="51" customFormat="1">
      <c r="A13" s="1">
        <v>1112</v>
      </c>
      <c r="B13" s="11" t="s">
        <v>92</v>
      </c>
      <c r="C13" s="12">
        <f>SUBTOTAL(9,C14:C15)</f>
        <v>890000</v>
      </c>
      <c r="D13" s="12">
        <f>SUBTOTAL(9,D14:D15)</f>
        <v>156000</v>
      </c>
      <c r="E13" s="183">
        <f>SUM(E14:E15)</f>
        <v>382517.90812500002</v>
      </c>
      <c r="F13" s="52">
        <f t="shared" si="0"/>
        <v>31876.49234375</v>
      </c>
      <c r="G13" t="e" cm="1">
        <f t="array" aca="1" ref="G13" ca="1">ColorNumber(E13)</f>
        <v>#NAME?</v>
      </c>
    </row>
    <row r="14" spans="1:7">
      <c r="A14" s="4">
        <v>111201</v>
      </c>
      <c r="B14" s="53" t="s">
        <v>93</v>
      </c>
      <c r="C14" s="54">
        <v>890000</v>
      </c>
      <c r="D14" s="54">
        <f>120000+24000</f>
        <v>144000</v>
      </c>
      <c r="E14" s="184">
        <v>252293.6985</v>
      </c>
      <c r="F14" s="54">
        <f t="shared" si="0"/>
        <v>21024.474875</v>
      </c>
      <c r="G14" t="e" cm="1">
        <f t="array" aca="1" ref="G14" ca="1">ColorNumber(E14)</f>
        <v>#NAME?</v>
      </c>
    </row>
    <row r="15" spans="1:7">
      <c r="A15" s="4">
        <v>111202</v>
      </c>
      <c r="B15" s="53" t="s">
        <v>388</v>
      </c>
      <c r="C15" s="54">
        <v>0</v>
      </c>
      <c r="D15" s="54">
        <v>12000</v>
      </c>
      <c r="E15" s="184">
        <v>130224.209625</v>
      </c>
      <c r="F15" s="54">
        <f t="shared" si="0"/>
        <v>10852.01746875</v>
      </c>
      <c r="G15" t="e" cm="1">
        <f t="array" aca="1" ref="G15" ca="1">ColorNumber(E15)</f>
        <v>#NAME?</v>
      </c>
    </row>
    <row r="16" spans="1:7" ht="22.3">
      <c r="A16" s="1">
        <v>1113</v>
      </c>
      <c r="B16" s="11" t="s">
        <v>392</v>
      </c>
      <c r="C16" s="12"/>
      <c r="D16" s="385"/>
      <c r="E16" s="386"/>
      <c r="F16" s="387"/>
      <c r="G16"/>
    </row>
    <row r="17" spans="1:7">
      <c r="A17" s="379">
        <v>111301</v>
      </c>
      <c r="B17" s="380" t="s">
        <v>390</v>
      </c>
      <c r="C17" s="401"/>
      <c r="D17" s="402"/>
      <c r="E17" s="402"/>
      <c r="F17" s="402"/>
      <c r="G17"/>
    </row>
    <row r="18" spans="1:7">
      <c r="A18" s="379">
        <v>111302</v>
      </c>
      <c r="B18" s="380" t="s">
        <v>391</v>
      </c>
      <c r="C18" s="401"/>
      <c r="D18" s="402"/>
      <c r="E18" s="402"/>
      <c r="F18" s="402"/>
      <c r="G18"/>
    </row>
    <row r="19" spans="1:7" s="51" customFormat="1">
      <c r="A19" s="3">
        <v>112</v>
      </c>
      <c r="B19" s="9" t="s">
        <v>95</v>
      </c>
      <c r="C19" s="10">
        <f>C20</f>
        <v>0</v>
      </c>
      <c r="D19" s="398">
        <f>D20+D23+D28</f>
        <v>409800</v>
      </c>
      <c r="E19" s="399">
        <f>E20</f>
        <v>290002.984</v>
      </c>
      <c r="F19" s="400">
        <f t="shared" si="0"/>
        <v>24166.915333333334</v>
      </c>
      <c r="G19" t="e" cm="1">
        <f t="array" aca="1" ref="G19" ca="1">ColorNumber(E19)</f>
        <v>#NAME?</v>
      </c>
    </row>
    <row r="20" spans="1:7" s="51" customFormat="1">
      <c r="A20" s="1">
        <v>1121</v>
      </c>
      <c r="B20" s="11" t="s">
        <v>96</v>
      </c>
      <c r="C20" s="12">
        <f>SUBTOTAL(9,C21:C21)</f>
        <v>0</v>
      </c>
      <c r="D20" s="12">
        <f>SUBTOTAL(9,D21:D21)</f>
        <v>24000</v>
      </c>
      <c r="E20" s="183">
        <f>E21</f>
        <v>290002.984</v>
      </c>
      <c r="F20" s="52">
        <f t="shared" si="0"/>
        <v>24166.915333333334</v>
      </c>
      <c r="G20" t="e" cm="1">
        <f t="array" aca="1" ref="G20" ca="1">ColorNumber(E20)</f>
        <v>#NAME?</v>
      </c>
    </row>
    <row r="21" spans="1:7">
      <c r="A21" s="4">
        <v>112101</v>
      </c>
      <c r="B21" s="53" t="s">
        <v>389</v>
      </c>
      <c r="C21" s="54">
        <v>0</v>
      </c>
      <c r="D21" s="54">
        <v>24000</v>
      </c>
      <c r="E21" s="184">
        <v>290002.984</v>
      </c>
      <c r="F21" s="54">
        <f t="shared" si="0"/>
        <v>24166.915333333334</v>
      </c>
      <c r="G21" t="e" cm="1">
        <f t="array" aca="1" ref="G21" ca="1">ColorNumber(E21)</f>
        <v>#NAME?</v>
      </c>
    </row>
    <row r="22" spans="1:7">
      <c r="A22" s="3">
        <v>113</v>
      </c>
      <c r="B22" s="9" t="s">
        <v>97</v>
      </c>
      <c r="C22" s="10">
        <f>C23+C28</f>
        <v>311000</v>
      </c>
      <c r="D22" s="10">
        <f>D23+D28</f>
        <v>385800</v>
      </c>
      <c r="E22" s="170">
        <f>E23+E28</f>
        <v>401592.43869999994</v>
      </c>
      <c r="F22" s="62">
        <f t="shared" si="0"/>
        <v>33466.036558333326</v>
      </c>
      <c r="G22" t="e" cm="1">
        <f t="array" aca="1" ref="G22" ca="1">ColorNumber(E22)</f>
        <v>#NAME?</v>
      </c>
    </row>
    <row r="23" spans="1:7">
      <c r="A23" s="1">
        <v>1131</v>
      </c>
      <c r="B23" s="11" t="s">
        <v>222</v>
      </c>
      <c r="C23" s="12">
        <f>SUBTOTAL(9,C24:C26)</f>
        <v>216000</v>
      </c>
      <c r="D23" s="12">
        <f>SUBTOTAL(9,D24:D26)</f>
        <v>306600</v>
      </c>
      <c r="E23" s="183">
        <f>SUM(E24:E25)</f>
        <v>314130.62321999995</v>
      </c>
      <c r="F23" s="52">
        <f t="shared" si="0"/>
        <v>26177.551934999996</v>
      </c>
      <c r="G23" t="e" cm="1">
        <f t="array" aca="1" ref="G23" ca="1">ColorNumber(E23)</f>
        <v>#NAME?</v>
      </c>
    </row>
    <row r="24" spans="1:7">
      <c r="A24" s="4">
        <v>113101</v>
      </c>
      <c r="B24" s="53" t="s">
        <v>98</v>
      </c>
      <c r="C24" s="54">
        <v>216000</v>
      </c>
      <c r="D24" s="54">
        <v>180000</v>
      </c>
      <c r="E24" s="184">
        <v>116906.06774</v>
      </c>
      <c r="F24" s="54">
        <f t="shared" si="0"/>
        <v>9742.1723116666672</v>
      </c>
      <c r="G24" t="e" cm="1">
        <f t="array" aca="1" ref="G24" ca="1">ColorNumber(E24)</f>
        <v>#NAME?</v>
      </c>
    </row>
    <row r="25" spans="1:7">
      <c r="A25" s="4">
        <v>113103</v>
      </c>
      <c r="B25" s="53" t="s">
        <v>99</v>
      </c>
      <c r="C25" s="54">
        <v>0</v>
      </c>
      <c r="D25" s="54">
        <v>120000</v>
      </c>
      <c r="E25" s="184">
        <v>197224.55547999998</v>
      </c>
      <c r="F25" s="54">
        <f t="shared" si="0"/>
        <v>16435.379623333331</v>
      </c>
      <c r="G25" t="e" cm="1">
        <f t="array" aca="1" ref="G25" ca="1">ColorNumber(E25)</f>
        <v>#NAME?</v>
      </c>
    </row>
    <row r="26" spans="1:7" hidden="1">
      <c r="A26" s="4">
        <v>113102</v>
      </c>
      <c r="B26" s="53" t="s">
        <v>100</v>
      </c>
      <c r="C26" s="54">
        <v>0</v>
      </c>
      <c r="D26" s="54">
        <v>6600</v>
      </c>
      <c r="E26" s="184"/>
      <c r="F26" s="54"/>
      <c r="G26" t="e" cm="1">
        <f t="array" aca="1" ref="G26" ca="1">ColorNumber(E26)</f>
        <v>#NAME?</v>
      </c>
    </row>
    <row r="27" spans="1:7">
      <c r="A27" s="4">
        <v>113102</v>
      </c>
      <c r="B27" s="377" t="s">
        <v>100</v>
      </c>
      <c r="C27" s="144"/>
      <c r="D27" s="144"/>
      <c r="E27" s="184"/>
      <c r="F27" s="54"/>
      <c r="G27"/>
    </row>
    <row r="28" spans="1:7">
      <c r="A28" s="1">
        <v>1133</v>
      </c>
      <c r="B28" s="11" t="s">
        <v>101</v>
      </c>
      <c r="C28" s="12">
        <f>SUBTOTAL(9,C29:C30)</f>
        <v>95000</v>
      </c>
      <c r="D28" s="12">
        <f>SUBTOTAL(9,D29:D30)</f>
        <v>79200</v>
      </c>
      <c r="E28" s="183">
        <f>SUM(E29:E30)</f>
        <v>87461.815480000005</v>
      </c>
      <c r="F28" s="52">
        <f t="shared" ref="F28:F32" si="1">E28/12</f>
        <v>7288.4846233333337</v>
      </c>
      <c r="G28" t="e" cm="1">
        <f t="array" aca="1" ref="G28" ca="1">ColorNumber(E28)</f>
        <v>#NAME?</v>
      </c>
    </row>
    <row r="29" spans="1:7">
      <c r="A29" s="4">
        <v>113301</v>
      </c>
      <c r="B29" s="53" t="s">
        <v>102</v>
      </c>
      <c r="C29" s="54">
        <v>95000</v>
      </c>
      <c r="D29" s="54">
        <v>72000</v>
      </c>
      <c r="E29" s="184">
        <v>69969.452384000004</v>
      </c>
      <c r="F29" s="54">
        <f t="shared" si="1"/>
        <v>5830.787698666667</v>
      </c>
      <c r="G29" t="e" cm="1">
        <f t="array" aca="1" ref="G29" ca="1">ColorNumber(E29)</f>
        <v>#NAME?</v>
      </c>
    </row>
    <row r="30" spans="1:7">
      <c r="A30" s="4">
        <v>113302</v>
      </c>
      <c r="B30" s="53" t="s">
        <v>103</v>
      </c>
      <c r="C30" s="54">
        <v>0</v>
      </c>
      <c r="D30" s="54">
        <v>7200</v>
      </c>
      <c r="E30" s="184">
        <v>17492.363096000001</v>
      </c>
      <c r="F30" s="54">
        <f t="shared" si="1"/>
        <v>1457.6969246666667</v>
      </c>
      <c r="G30" t="e" cm="1">
        <f t="array" aca="1" ref="G30" ca="1">ColorNumber(E30)</f>
        <v>#NAME?</v>
      </c>
    </row>
    <row r="31" spans="1:7">
      <c r="A31" s="3">
        <v>114</v>
      </c>
      <c r="B31" s="9" t="s">
        <v>104</v>
      </c>
      <c r="C31" s="10" t="e">
        <f>C32+C37+#REF!+C52</f>
        <v>#REF!</v>
      </c>
      <c r="D31" s="10">
        <f>D32+D37+D52</f>
        <v>570000</v>
      </c>
      <c r="E31" s="185" t="e">
        <f>E32+E37+#REF!+E52</f>
        <v>#REF!</v>
      </c>
      <c r="F31" s="189" t="e">
        <f t="shared" si="1"/>
        <v>#REF!</v>
      </c>
      <c r="G31"/>
    </row>
    <row r="32" spans="1:7">
      <c r="A32" s="1">
        <v>1141</v>
      </c>
      <c r="B32" s="11" t="s">
        <v>223</v>
      </c>
      <c r="C32" s="12">
        <f>SUBTOTAL(9,C34:C36)</f>
        <v>0</v>
      </c>
      <c r="D32" s="12">
        <f>SUBTOTAL(9,D34:D36)</f>
        <v>42000</v>
      </c>
      <c r="E32" s="183">
        <f>SUM(E34:E36)</f>
        <v>25587.588592099997</v>
      </c>
      <c r="F32" s="52">
        <f t="shared" si="1"/>
        <v>2132.2990493416664</v>
      </c>
      <c r="G32" t="e">
        <f ca="1">ColorNumber(#REF!+#REF!+#REF!+#REF!+#REF!+#REF!+E35+E36+#REF!)</f>
        <v>#NAME?</v>
      </c>
    </row>
    <row r="33" spans="1:8">
      <c r="A33" s="382">
        <v>114111</v>
      </c>
      <c r="B33" s="383" t="s">
        <v>393</v>
      </c>
      <c r="C33" s="378"/>
      <c r="D33" s="378"/>
      <c r="E33" s="381"/>
      <c r="F33" s="252"/>
      <c r="G33"/>
    </row>
    <row r="34" spans="1:8" hidden="1">
      <c r="A34" s="4">
        <v>114125</v>
      </c>
      <c r="B34" s="53" t="s">
        <v>109</v>
      </c>
      <c r="C34" s="54">
        <v>0</v>
      </c>
      <c r="D34" s="54">
        <v>6000</v>
      </c>
      <c r="E34" s="184">
        <v>0</v>
      </c>
      <c r="F34" s="54"/>
      <c r="G34" t="e" cm="1">
        <f t="array" aca="1" ref="G34" ca="1">ColorNumber(E34)</f>
        <v>#NAME?</v>
      </c>
    </row>
    <row r="35" spans="1:8">
      <c r="A35" s="4">
        <v>114128</v>
      </c>
      <c r="B35" s="53" t="s">
        <v>224</v>
      </c>
      <c r="C35" s="54">
        <v>0</v>
      </c>
      <c r="D35" s="54">
        <v>24000</v>
      </c>
      <c r="E35" s="184">
        <v>16415.871672629997</v>
      </c>
      <c r="F35" s="54">
        <f t="shared" ref="F35:F37" si="2">E35/12</f>
        <v>1367.9893060524998</v>
      </c>
      <c r="G35" t="e" cm="1">
        <f t="array" aca="1" ref="G35" ca="1">ColorNumber(E35)</f>
        <v>#NAME?</v>
      </c>
      <c r="H35" s="91"/>
    </row>
    <row r="36" spans="1:8">
      <c r="A36" s="4">
        <v>114129</v>
      </c>
      <c r="B36" s="53" t="s">
        <v>225</v>
      </c>
      <c r="C36" s="54">
        <v>0</v>
      </c>
      <c r="D36" s="54">
        <v>12000</v>
      </c>
      <c r="E36" s="184">
        <v>9171.71691947</v>
      </c>
      <c r="F36" s="54">
        <f t="shared" si="2"/>
        <v>764.3097432891667</v>
      </c>
      <c r="G36" t="e" cm="1">
        <f t="array" aca="1" ref="G36" ca="1">ColorNumber(E36)</f>
        <v>#NAME?</v>
      </c>
      <c r="H36" s="91"/>
    </row>
    <row r="37" spans="1:8">
      <c r="A37" s="1">
        <v>1142</v>
      </c>
      <c r="B37" s="11" t="s">
        <v>397</v>
      </c>
      <c r="C37" s="12">
        <f>SUBTOTAL(9,C38:C51)</f>
        <v>0</v>
      </c>
      <c r="D37" s="12">
        <f>SUBTOTAL(9,D38:D51)</f>
        <v>240000</v>
      </c>
      <c r="E37" s="183" t="e">
        <f>#REF!</f>
        <v>#REF!</v>
      </c>
      <c r="F37" s="52" t="e">
        <f t="shared" si="2"/>
        <v>#REF!</v>
      </c>
      <c r="G37" t="e" cm="1">
        <f t="array" aca="1" ref="G37" ca="1">ColorNumber(E37)</f>
        <v>#NAME?</v>
      </c>
      <c r="H37" s="91"/>
    </row>
    <row r="38" spans="1:8" hidden="1">
      <c r="A38" s="4">
        <v>114201</v>
      </c>
      <c r="B38" s="53" t="s">
        <v>114</v>
      </c>
      <c r="C38" s="54">
        <v>0</v>
      </c>
      <c r="D38" s="54">
        <v>12000</v>
      </c>
      <c r="E38" s="184"/>
      <c r="F38" s="54"/>
      <c r="G38" t="e" cm="1">
        <f t="array" aca="1" ref="G38" ca="1">ColorNumber(E38)</f>
        <v>#NAME?</v>
      </c>
      <c r="H38" s="91"/>
    </row>
    <row r="39" spans="1:8" hidden="1">
      <c r="A39" s="4">
        <v>114203</v>
      </c>
      <c r="B39" s="53" t="s">
        <v>226</v>
      </c>
      <c r="C39" s="54">
        <v>0</v>
      </c>
      <c r="D39" s="54">
        <v>12000</v>
      </c>
      <c r="E39" s="184"/>
      <c r="F39" s="54"/>
      <c r="G39" t="e" cm="1">
        <f t="array" aca="1" ref="G39" ca="1">ColorNumber(E39)</f>
        <v>#NAME?</v>
      </c>
      <c r="H39" s="91"/>
    </row>
    <row r="40" spans="1:8" hidden="1">
      <c r="A40" s="4">
        <v>114205</v>
      </c>
      <c r="B40" s="53" t="s">
        <v>227</v>
      </c>
      <c r="C40" s="54">
        <v>0</v>
      </c>
      <c r="D40" s="54">
        <v>12000</v>
      </c>
      <c r="E40" s="184"/>
      <c r="F40" s="54"/>
      <c r="G40" t="e" cm="1">
        <f t="array" aca="1" ref="G40" ca="1">ColorNumber(E40)</f>
        <v>#NAME?</v>
      </c>
      <c r="H40" s="91"/>
    </row>
    <row r="41" spans="1:8" hidden="1">
      <c r="A41" s="4">
        <v>114206</v>
      </c>
      <c r="B41" s="53" t="s">
        <v>228</v>
      </c>
      <c r="C41" s="54">
        <v>0</v>
      </c>
      <c r="D41" s="54">
        <v>24000</v>
      </c>
      <c r="E41" s="184"/>
      <c r="F41" s="54"/>
      <c r="G41" t="e" cm="1">
        <f t="array" aca="1" ref="G41" ca="1">ColorNumber(E41)</f>
        <v>#NAME?</v>
      </c>
      <c r="H41" s="91"/>
    </row>
    <row r="42" spans="1:8" hidden="1">
      <c r="A42" s="4">
        <v>114207</v>
      </c>
      <c r="B42" s="53" t="s">
        <v>115</v>
      </c>
      <c r="C42" s="54">
        <v>0</v>
      </c>
      <c r="D42" s="54">
        <v>24000</v>
      </c>
      <c r="E42" s="184"/>
      <c r="F42" s="54"/>
      <c r="G42" t="e" cm="1">
        <f t="array" aca="1" ref="G42" ca="1">ColorNumber(E42)</f>
        <v>#NAME?</v>
      </c>
      <c r="H42" s="91"/>
    </row>
    <row r="43" spans="1:8" hidden="1">
      <c r="A43" s="4">
        <v>114209</v>
      </c>
      <c r="B43" s="53" t="s">
        <v>116</v>
      </c>
      <c r="C43" s="54">
        <v>0</v>
      </c>
      <c r="D43" s="54">
        <v>36000</v>
      </c>
      <c r="E43" s="184"/>
      <c r="F43" s="54"/>
      <c r="G43" t="e" cm="1">
        <f t="array" aca="1" ref="G43" ca="1">ColorNumber(E43)</f>
        <v>#NAME?</v>
      </c>
      <c r="H43" s="91"/>
    </row>
    <row r="44" spans="1:8" hidden="1">
      <c r="A44" s="4">
        <v>114213</v>
      </c>
      <c r="B44" s="53" t="s">
        <v>118</v>
      </c>
      <c r="C44" s="54">
        <v>0</v>
      </c>
      <c r="D44" s="54">
        <v>36000</v>
      </c>
      <c r="E44" s="184"/>
      <c r="F44" s="54"/>
      <c r="G44" t="e" cm="1">
        <f t="array" aca="1" ref="G44" ca="1">ColorNumber(E44)</f>
        <v>#NAME?</v>
      </c>
      <c r="H44" s="91"/>
    </row>
    <row r="45" spans="1:8" hidden="1">
      <c r="A45" s="4">
        <v>114214</v>
      </c>
      <c r="B45" s="53" t="s">
        <v>229</v>
      </c>
      <c r="C45" s="54">
        <v>0</v>
      </c>
      <c r="D45" s="54">
        <v>12000</v>
      </c>
      <c r="E45" s="184"/>
      <c r="F45" s="54"/>
      <c r="G45" t="e" cm="1">
        <f t="array" aca="1" ref="G45" ca="1">ColorNumber(E45)</f>
        <v>#NAME?</v>
      </c>
      <c r="H45" s="91"/>
    </row>
    <row r="46" spans="1:8">
      <c r="A46" s="4">
        <v>114205</v>
      </c>
      <c r="B46" s="53" t="s">
        <v>394</v>
      </c>
      <c r="C46" s="54"/>
      <c r="D46" s="54"/>
      <c r="E46" s="184"/>
      <c r="F46" s="54"/>
      <c r="G46"/>
      <c r="H46" s="91"/>
    </row>
    <row r="47" spans="1:8">
      <c r="A47" s="4">
        <v>114208</v>
      </c>
      <c r="B47" s="53" t="s">
        <v>395</v>
      </c>
      <c r="C47" s="54"/>
      <c r="D47" s="54"/>
      <c r="E47" s="184"/>
      <c r="F47" s="54"/>
      <c r="G47"/>
      <c r="H47" s="91"/>
    </row>
    <row r="48" spans="1:8">
      <c r="A48" s="4">
        <v>114210</v>
      </c>
      <c r="B48" s="53" t="s">
        <v>117</v>
      </c>
      <c r="C48" s="54">
        <v>0</v>
      </c>
      <c r="D48" s="54">
        <v>48000</v>
      </c>
      <c r="E48" s="184">
        <v>70210.515905000007</v>
      </c>
      <c r="F48" s="54">
        <f>E48/12</f>
        <v>5850.876325416667</v>
      </c>
      <c r="G48"/>
      <c r="H48" s="91"/>
    </row>
    <row r="49" spans="1:8">
      <c r="A49" s="4">
        <v>114213</v>
      </c>
      <c r="B49" s="53" t="s">
        <v>118</v>
      </c>
      <c r="C49" s="54"/>
      <c r="D49" s="54"/>
      <c r="E49" s="184"/>
      <c r="F49" s="54"/>
      <c r="G49"/>
      <c r="H49" s="91"/>
    </row>
    <row r="50" spans="1:8">
      <c r="A50" s="4">
        <v>114216</v>
      </c>
      <c r="B50" s="53" t="s">
        <v>396</v>
      </c>
      <c r="C50" s="54"/>
      <c r="D50" s="54"/>
      <c r="E50" s="184"/>
      <c r="F50" s="54"/>
      <c r="G50"/>
      <c r="H50" s="91"/>
    </row>
    <row r="51" spans="1:8" hidden="1">
      <c r="A51" s="4">
        <v>114216</v>
      </c>
      <c r="B51" s="53" t="s">
        <v>230</v>
      </c>
      <c r="C51" s="54">
        <v>0</v>
      </c>
      <c r="D51" s="54">
        <v>24000</v>
      </c>
      <c r="E51" s="184"/>
      <c r="F51" s="54"/>
      <c r="G51" t="e" cm="1">
        <f t="array" aca="1" ref="G51" ca="1">ColorNumber(E51)</f>
        <v>#NAME?</v>
      </c>
      <c r="H51" s="91"/>
    </row>
    <row r="52" spans="1:8" ht="22.3">
      <c r="A52" s="1">
        <v>1145</v>
      </c>
      <c r="B52" s="396" t="s">
        <v>120</v>
      </c>
      <c r="C52" s="385">
        <f>SUBTOTAL(9,C53:C55)</f>
        <v>1119600</v>
      </c>
      <c r="D52" s="385">
        <f>SUBTOTAL(9,D53:D55)</f>
        <v>288000</v>
      </c>
      <c r="E52" s="386">
        <f>SUM(E53:E55)</f>
        <v>227808.25299380999</v>
      </c>
      <c r="F52" s="387">
        <f t="shared" ref="F52:F69" si="3">E52/12</f>
        <v>18984.0210828175</v>
      </c>
      <c r="G52" t="e" cm="1">
        <f t="array" aca="1" ref="G52" ca="1">ColorNumber(E52)</f>
        <v>#NAME?</v>
      </c>
    </row>
    <row r="53" spans="1:8">
      <c r="A53" s="391">
        <v>114528</v>
      </c>
      <c r="B53" s="53" t="s">
        <v>122</v>
      </c>
      <c r="C53" s="54">
        <v>990000</v>
      </c>
      <c r="D53" s="54">
        <v>240000</v>
      </c>
      <c r="E53" s="54">
        <v>122764.39468785</v>
      </c>
      <c r="F53" s="54">
        <f t="shared" si="3"/>
        <v>10230.366223987499</v>
      </c>
      <c r="G53" t="e" cm="1">
        <f t="array" aca="1" ref="G53" ca="1">ColorNumber(E53)</f>
        <v>#NAME?</v>
      </c>
    </row>
    <row r="54" spans="1:8">
      <c r="A54" s="391">
        <v>114529</v>
      </c>
      <c r="B54" s="53" t="s">
        <v>398</v>
      </c>
      <c r="C54" s="54">
        <v>0</v>
      </c>
      <c r="D54" s="54">
        <v>30000</v>
      </c>
      <c r="E54" s="54">
        <v>94497.981708659994</v>
      </c>
      <c r="F54" s="54">
        <f t="shared" si="3"/>
        <v>7874.8318090549992</v>
      </c>
      <c r="G54" t="e" cm="1">
        <f t="array" aca="1" ref="G54" ca="1">ColorNumber(E54)</f>
        <v>#NAME?</v>
      </c>
    </row>
    <row r="55" spans="1:8">
      <c r="A55" s="391">
        <v>114531</v>
      </c>
      <c r="B55" s="53" t="s">
        <v>124</v>
      </c>
      <c r="C55" s="54">
        <v>129600</v>
      </c>
      <c r="D55" s="54">
        <v>18000</v>
      </c>
      <c r="E55" s="54">
        <v>10545.876597300001</v>
      </c>
      <c r="F55" s="54">
        <f t="shared" si="3"/>
        <v>878.82304977500007</v>
      </c>
      <c r="G55" t="e" cm="1">
        <f t="array" aca="1" ref="G55" ca="1">ColorNumber(E55)</f>
        <v>#NAME?</v>
      </c>
    </row>
    <row r="56" spans="1:8">
      <c r="A56" s="391">
        <v>114532</v>
      </c>
      <c r="B56" s="53" t="s">
        <v>399</v>
      </c>
      <c r="C56" s="54"/>
      <c r="D56" s="54"/>
      <c r="E56" s="54"/>
      <c r="F56" s="54"/>
      <c r="G56"/>
    </row>
    <row r="57" spans="1:8">
      <c r="A57" s="391">
        <v>114533</v>
      </c>
      <c r="B57" s="53" t="s">
        <v>400</v>
      </c>
      <c r="C57" s="54"/>
      <c r="D57" s="54"/>
      <c r="E57" s="54"/>
      <c r="F57" s="54"/>
      <c r="G57"/>
    </row>
    <row r="58" spans="1:8">
      <c r="A58" s="3">
        <v>115</v>
      </c>
      <c r="B58" s="397" t="s">
        <v>125</v>
      </c>
      <c r="C58" s="398">
        <f>C59+C89</f>
        <v>4020000</v>
      </c>
      <c r="D58" s="398">
        <f>D59+D89</f>
        <v>4958640</v>
      </c>
      <c r="E58" s="399">
        <f>E59</f>
        <v>2977065.6422999999</v>
      </c>
      <c r="F58" s="400">
        <f t="shared" si="3"/>
        <v>248088.803525</v>
      </c>
      <c r="G58" t="e" cm="1">
        <f t="array" aca="1" ref="G58" ca="1">ColorNumber(E58)</f>
        <v>#NAME?</v>
      </c>
    </row>
    <row r="59" spans="1:8">
      <c r="A59" s="1">
        <v>1151</v>
      </c>
      <c r="B59" s="396" t="s">
        <v>232</v>
      </c>
      <c r="C59" s="12">
        <f>SUBTOTAL(9,C61:C88)</f>
        <v>4020000</v>
      </c>
      <c r="D59" s="385">
        <f>SUBTOTAL(9,D61:D88)</f>
        <v>4850640</v>
      </c>
      <c r="E59" s="386">
        <f>SUM(E61:E83)</f>
        <v>2977065.6422999999</v>
      </c>
      <c r="F59" s="387">
        <f t="shared" si="3"/>
        <v>248088.803525</v>
      </c>
      <c r="G59" t="e" cm="1">
        <f t="array" aca="1" ref="G59" ca="1">ColorNumber(E59)</f>
        <v>#NAME?</v>
      </c>
    </row>
    <row r="60" spans="1:8">
      <c r="A60" s="391">
        <v>115100</v>
      </c>
      <c r="B60" s="53" t="s">
        <v>401</v>
      </c>
      <c r="C60" s="393"/>
      <c r="D60" s="53"/>
      <c r="E60" s="53"/>
      <c r="F60" s="53"/>
      <c r="G60"/>
    </row>
    <row r="61" spans="1:8">
      <c r="A61" s="391">
        <v>115101</v>
      </c>
      <c r="B61" s="53" t="s">
        <v>126</v>
      </c>
      <c r="C61" s="394">
        <v>1000000</v>
      </c>
      <c r="D61" s="54">
        <f>721500+73140-18000</f>
        <v>776640</v>
      </c>
      <c r="E61" s="54">
        <v>275655.76543799997</v>
      </c>
      <c r="F61" s="54">
        <f t="shared" si="3"/>
        <v>22971.313786499999</v>
      </c>
      <c r="G61" t="e" cm="1">
        <f t="array" aca="1" ref="G61" ca="1">ColorNumber(E61)</f>
        <v>#NAME?</v>
      </c>
    </row>
    <row r="62" spans="1:8">
      <c r="A62" s="391">
        <v>115102</v>
      </c>
      <c r="B62" s="53" t="s">
        <v>127</v>
      </c>
      <c r="C62" s="394">
        <v>1000000</v>
      </c>
      <c r="D62" s="54">
        <f>804000</f>
        <v>804000</v>
      </c>
      <c r="E62" s="54">
        <v>327471.74637300003</v>
      </c>
      <c r="F62" s="54">
        <f t="shared" si="3"/>
        <v>27289.312197750001</v>
      </c>
      <c r="G62" t="e" cm="1">
        <f t="array" aca="1" ref="G62" ca="1">ColorNumber(E62)</f>
        <v>#NAME?</v>
      </c>
    </row>
    <row r="63" spans="1:8">
      <c r="A63" s="391">
        <v>115103</v>
      </c>
      <c r="B63" s="53" t="s">
        <v>233</v>
      </c>
      <c r="C63" s="394">
        <v>100000</v>
      </c>
      <c r="D63" s="54">
        <v>24000</v>
      </c>
      <c r="E63" s="54">
        <v>165075.60215699999</v>
      </c>
      <c r="F63" s="54">
        <f t="shared" si="3"/>
        <v>13756.300179749998</v>
      </c>
      <c r="G63" t="e" cm="1">
        <f t="array" aca="1" ref="G63" ca="1">ColorNumber(E63)</f>
        <v>#NAME?</v>
      </c>
    </row>
    <row r="64" spans="1:8">
      <c r="A64" s="391">
        <v>115104</v>
      </c>
      <c r="B64" s="53" t="s">
        <v>234</v>
      </c>
      <c r="C64" s="394">
        <v>0</v>
      </c>
      <c r="D64" s="54">
        <v>24000</v>
      </c>
      <c r="E64" s="54">
        <v>332013.03294599999</v>
      </c>
      <c r="F64" s="54">
        <f t="shared" si="3"/>
        <v>27667.752745499998</v>
      </c>
      <c r="G64" t="e" cm="1">
        <f t="array" aca="1" ref="G64" ca="1">ColorNumber(E64)</f>
        <v>#NAME?</v>
      </c>
    </row>
    <row r="65" spans="1:7">
      <c r="A65" s="391">
        <v>115105</v>
      </c>
      <c r="B65" s="53" t="s">
        <v>235</v>
      </c>
      <c r="C65" s="394">
        <v>0</v>
      </c>
      <c r="D65" s="54">
        <v>24000</v>
      </c>
      <c r="E65" s="54">
        <v>133286.596146</v>
      </c>
      <c r="F65" s="54">
        <f t="shared" si="3"/>
        <v>11107.216345499999</v>
      </c>
      <c r="G65" t="e" cm="1">
        <f t="array" aca="1" ref="G65" ca="1">ColorNumber(E65)</f>
        <v>#NAME?</v>
      </c>
    </row>
    <row r="66" spans="1:7">
      <c r="A66" s="391">
        <v>115106</v>
      </c>
      <c r="B66" s="53" t="s">
        <v>128</v>
      </c>
      <c r="C66" s="394">
        <v>1620000</v>
      </c>
      <c r="D66" s="54">
        <v>2160000</v>
      </c>
      <c r="E66" s="54">
        <v>905669.42666099989</v>
      </c>
      <c r="F66" s="54">
        <f t="shared" si="3"/>
        <v>75472.452221749991</v>
      </c>
      <c r="G66" t="e" cm="1">
        <f t="array" aca="1" ref="G66" ca="1">ColorNumber(E66)</f>
        <v>#NAME?</v>
      </c>
    </row>
    <row r="67" spans="1:7">
      <c r="A67" s="391">
        <v>115107</v>
      </c>
      <c r="B67" s="53" t="s">
        <v>236</v>
      </c>
      <c r="C67" s="394">
        <v>100000</v>
      </c>
      <c r="D67" s="54">
        <v>180000</v>
      </c>
      <c r="E67" s="54">
        <v>196362.76388399999</v>
      </c>
      <c r="F67" s="54">
        <f t="shared" si="3"/>
        <v>16363.563656999999</v>
      </c>
      <c r="G67" t="e" cm="1">
        <f t="array" aca="1" ref="G67" ca="1">ColorNumber(E67)</f>
        <v>#NAME?</v>
      </c>
    </row>
    <row r="68" spans="1:7">
      <c r="A68" s="391">
        <v>115108</v>
      </c>
      <c r="B68" s="53" t="s">
        <v>237</v>
      </c>
      <c r="C68" s="394">
        <v>100000</v>
      </c>
      <c r="D68" s="54">
        <v>240000</v>
      </c>
      <c r="E68" s="54">
        <v>315051.34407300001</v>
      </c>
      <c r="F68" s="54">
        <f t="shared" si="3"/>
        <v>26254.278672750002</v>
      </c>
      <c r="G68" t="e" cm="1">
        <f t="array" aca="1" ref="G68" ca="1">ColorNumber(E68)</f>
        <v>#NAME?</v>
      </c>
    </row>
    <row r="69" spans="1:7">
      <c r="A69" s="391">
        <v>115109</v>
      </c>
      <c r="B69" s="53" t="s">
        <v>238</v>
      </c>
      <c r="C69" s="394">
        <v>100000</v>
      </c>
      <c r="D69" s="54">
        <v>120000</v>
      </c>
      <c r="E69" s="54">
        <v>63082.573146000002</v>
      </c>
      <c r="F69" s="54">
        <f t="shared" si="3"/>
        <v>5256.8810954999999</v>
      </c>
      <c r="G69" t="e" cm="1">
        <f t="array" aca="1" ref="G69" ca="1">ColorNumber(E69)</f>
        <v>#NAME?</v>
      </c>
    </row>
    <row r="70" spans="1:7" hidden="1">
      <c r="A70" s="391">
        <v>115110</v>
      </c>
      <c r="B70" s="53" t="s">
        <v>239</v>
      </c>
      <c r="C70" s="394">
        <v>0</v>
      </c>
      <c r="D70" s="54">
        <v>6000</v>
      </c>
      <c r="E70" s="54"/>
      <c r="F70" s="54"/>
      <c r="G70" t="e" cm="1">
        <f t="array" aca="1" ref="G70" ca="1">ColorNumber(E70)</f>
        <v>#NAME?</v>
      </c>
    </row>
    <row r="71" spans="1:7" hidden="1">
      <c r="A71" s="391">
        <v>115111</v>
      </c>
      <c r="B71" s="53" t="s">
        <v>129</v>
      </c>
      <c r="C71" s="394">
        <v>0</v>
      </c>
      <c r="D71" s="54">
        <v>48000</v>
      </c>
      <c r="E71" s="54"/>
      <c r="F71" s="54"/>
      <c r="G71" t="e" cm="1">
        <f t="array" aca="1" ref="G71" ca="1">ColorNumber(E71)</f>
        <v>#NAME?</v>
      </c>
    </row>
    <row r="72" spans="1:7" hidden="1">
      <c r="A72" s="391">
        <v>115112</v>
      </c>
      <c r="B72" s="53" t="s">
        <v>240</v>
      </c>
      <c r="C72" s="394">
        <v>0</v>
      </c>
      <c r="D72" s="54">
        <v>24000</v>
      </c>
      <c r="E72" s="54"/>
      <c r="F72" s="54"/>
      <c r="G72" t="e" cm="1">
        <f t="array" aca="1" ref="G72" ca="1">ColorNumber(E72)</f>
        <v>#NAME?</v>
      </c>
    </row>
    <row r="73" spans="1:7" hidden="1">
      <c r="A73" s="391">
        <v>115113</v>
      </c>
      <c r="B73" s="53" t="s">
        <v>241</v>
      </c>
      <c r="C73" s="394"/>
      <c r="D73" s="54">
        <v>24000</v>
      </c>
      <c r="E73" s="54"/>
      <c r="F73" s="54"/>
      <c r="G73" t="e" cm="1">
        <f t="array" aca="1" ref="G73" ca="1">ColorNumber(E73)</f>
        <v>#NAME?</v>
      </c>
    </row>
    <row r="74" spans="1:7">
      <c r="A74" s="391">
        <v>115110</v>
      </c>
      <c r="B74" s="53" t="s">
        <v>402</v>
      </c>
      <c r="C74" s="394"/>
      <c r="D74" s="54"/>
      <c r="E74" s="54"/>
      <c r="F74" s="54"/>
      <c r="G74"/>
    </row>
    <row r="75" spans="1:7">
      <c r="A75" s="391">
        <v>115111</v>
      </c>
      <c r="B75" s="53" t="s">
        <v>129</v>
      </c>
      <c r="C75" s="394"/>
      <c r="D75" s="54"/>
      <c r="E75" s="54"/>
      <c r="F75" s="54"/>
      <c r="G75"/>
    </row>
    <row r="76" spans="1:7">
      <c r="A76" s="391">
        <v>115112</v>
      </c>
      <c r="B76" s="53" t="s">
        <v>403</v>
      </c>
      <c r="C76" s="394"/>
      <c r="D76" s="54"/>
      <c r="E76" s="54"/>
      <c r="F76" s="54"/>
      <c r="G76"/>
    </row>
    <row r="77" spans="1:7">
      <c r="A77" s="391">
        <v>115113</v>
      </c>
      <c r="B77" s="53" t="s">
        <v>404</v>
      </c>
      <c r="C77" s="394"/>
      <c r="D77" s="54"/>
      <c r="E77" s="54"/>
      <c r="F77" s="54"/>
      <c r="G77"/>
    </row>
    <row r="78" spans="1:7">
      <c r="A78" s="391">
        <v>115114</v>
      </c>
      <c r="B78" s="53" t="s">
        <v>130</v>
      </c>
      <c r="C78" s="394">
        <v>0</v>
      </c>
      <c r="D78" s="54">
        <v>12000</v>
      </c>
      <c r="E78" s="54">
        <v>21000</v>
      </c>
      <c r="F78" s="54">
        <f>E78/12</f>
        <v>1750</v>
      </c>
      <c r="G78" t="e" cm="1">
        <f t="array" aca="1" ref="G78" ca="1">ColorNumber(E78)</f>
        <v>#NAME?</v>
      </c>
    </row>
    <row r="79" spans="1:7">
      <c r="A79" s="391">
        <v>115115</v>
      </c>
      <c r="B79" s="53" t="s">
        <v>131</v>
      </c>
      <c r="C79" s="394">
        <v>0</v>
      </c>
      <c r="D79" s="54">
        <v>60000</v>
      </c>
      <c r="E79" s="54">
        <v>52480.378119000176</v>
      </c>
      <c r="F79" s="54">
        <f>E79/12</f>
        <v>4373.3648432500149</v>
      </c>
      <c r="G79" t="e" cm="1">
        <f t="array" aca="1" ref="G79" ca="1">ColorNumber(E79)</f>
        <v>#NAME?</v>
      </c>
    </row>
    <row r="80" spans="1:7" ht="12.75" hidden="1" customHeight="1">
      <c r="A80" s="391">
        <v>115116</v>
      </c>
      <c r="B80" s="53" t="s">
        <v>132</v>
      </c>
      <c r="C80" s="394">
        <v>0</v>
      </c>
      <c r="D80" s="54">
        <v>120000</v>
      </c>
      <c r="E80" s="54"/>
      <c r="F80" s="54"/>
      <c r="G80" t="e" cm="1">
        <f t="array" aca="1" ref="G80" ca="1">ColorNumber(E80)</f>
        <v>#NAME?</v>
      </c>
    </row>
    <row r="81" spans="1:7" ht="12.75" customHeight="1">
      <c r="A81" s="391">
        <v>115116</v>
      </c>
      <c r="B81" s="53" t="s">
        <v>132</v>
      </c>
      <c r="C81" s="394"/>
      <c r="D81" s="54"/>
      <c r="E81" s="54"/>
      <c r="F81" s="54"/>
      <c r="G81"/>
    </row>
    <row r="82" spans="1:7">
      <c r="A82" s="391">
        <v>115117</v>
      </c>
      <c r="B82" s="53" t="s">
        <v>133</v>
      </c>
      <c r="C82" s="394">
        <v>0</v>
      </c>
      <c r="D82" s="54">
        <v>60000</v>
      </c>
      <c r="E82" s="54">
        <v>54222.895773000004</v>
      </c>
      <c r="F82" s="54">
        <f>E82/12</f>
        <v>4518.5746477500006</v>
      </c>
      <c r="G82" t="e" cm="1">
        <f t="array" aca="1" ref="G82" ca="1">ColorNumber(E82)</f>
        <v>#NAME?</v>
      </c>
    </row>
    <row r="83" spans="1:7">
      <c r="A83" s="391">
        <v>115118</v>
      </c>
      <c r="B83" s="53" t="s">
        <v>134</v>
      </c>
      <c r="C83" s="394">
        <v>0</v>
      </c>
      <c r="D83" s="54">
        <v>60000</v>
      </c>
      <c r="E83" s="54">
        <v>135693.51758399999</v>
      </c>
      <c r="F83" s="54">
        <f>E83/12</f>
        <v>11307.793131999999</v>
      </c>
      <c r="G83" t="e" cm="1">
        <f t="array" aca="1" ref="G83" ca="1">ColorNumber(E83)</f>
        <v>#NAME?</v>
      </c>
    </row>
    <row r="84" spans="1:7" hidden="1">
      <c r="A84" s="391">
        <v>115119</v>
      </c>
      <c r="B84" s="53" t="s">
        <v>135</v>
      </c>
      <c r="C84" s="394">
        <v>0</v>
      </c>
      <c r="D84" s="54">
        <v>12000</v>
      </c>
      <c r="E84" s="54"/>
      <c r="F84" s="54"/>
      <c r="G84" t="e" cm="1">
        <f t="array" aca="1" ref="G84" ca="1">ColorNumber(E84)</f>
        <v>#NAME?</v>
      </c>
    </row>
    <row r="85" spans="1:7" hidden="1">
      <c r="A85" s="391">
        <v>115120</v>
      </c>
      <c r="B85" s="53" t="s">
        <v>136</v>
      </c>
      <c r="C85" s="394">
        <v>0</v>
      </c>
      <c r="D85" s="54">
        <v>24000</v>
      </c>
      <c r="E85" s="54"/>
      <c r="F85" s="54"/>
      <c r="G85" t="e" cm="1">
        <f t="array" aca="1" ref="G85" ca="1">ColorNumber(E85)</f>
        <v>#NAME?</v>
      </c>
    </row>
    <row r="86" spans="1:7" hidden="1">
      <c r="A86" s="391">
        <v>115121</v>
      </c>
      <c r="B86" s="53" t="s">
        <v>137</v>
      </c>
      <c r="C86" s="394">
        <v>0</v>
      </c>
      <c r="D86" s="54">
        <v>24000</v>
      </c>
      <c r="E86" s="54"/>
      <c r="F86" s="54"/>
      <c r="G86" t="e" cm="1">
        <f t="array" aca="1" ref="G86" ca="1">ColorNumber(E86)</f>
        <v>#NAME?</v>
      </c>
    </row>
    <row r="87" spans="1:7" hidden="1">
      <c r="A87" s="391">
        <v>115122</v>
      </c>
      <c r="B87" s="53" t="s">
        <v>138</v>
      </c>
      <c r="C87" s="394">
        <v>0</v>
      </c>
      <c r="D87" s="54">
        <v>12000</v>
      </c>
      <c r="E87" s="54"/>
      <c r="F87" s="54"/>
      <c r="G87" t="e" cm="1">
        <f t="array" aca="1" ref="G87" ca="1">ColorNumber(E87)</f>
        <v>#NAME?</v>
      </c>
    </row>
    <row r="88" spans="1:7" hidden="1">
      <c r="A88" s="391">
        <v>115123</v>
      </c>
      <c r="B88" s="53" t="s">
        <v>242</v>
      </c>
      <c r="C88" s="394">
        <v>0</v>
      </c>
      <c r="D88" s="54">
        <v>12000</v>
      </c>
      <c r="E88" s="54"/>
      <c r="F88" s="54"/>
      <c r="G88" t="e" cm="1">
        <f t="array" aca="1" ref="G88" ca="1">ColorNumber(E88)</f>
        <v>#NAME?</v>
      </c>
    </row>
    <row r="89" spans="1:7" hidden="1">
      <c r="A89" s="392">
        <v>1152</v>
      </c>
      <c r="B89" s="75" t="s">
        <v>243</v>
      </c>
      <c r="C89" s="395">
        <f>SUBTOTAL(9,C90:C94)</f>
        <v>0</v>
      </c>
      <c r="D89" s="52">
        <f>SUBTOTAL(9,D90:D94)</f>
        <v>108000</v>
      </c>
      <c r="E89" s="52"/>
      <c r="F89" s="52"/>
      <c r="G89" t="e" cm="1">
        <f t="array" aca="1" ref="G89" ca="1">ColorNumber(E89)</f>
        <v>#NAME?</v>
      </c>
    </row>
    <row r="90" spans="1:7" hidden="1">
      <c r="A90" s="391">
        <v>115201</v>
      </c>
      <c r="B90" s="53" t="s">
        <v>136</v>
      </c>
      <c r="C90" s="394">
        <v>0</v>
      </c>
      <c r="D90" s="54">
        <v>48000</v>
      </c>
      <c r="E90" s="54"/>
      <c r="F90" s="54"/>
      <c r="G90" t="e" cm="1">
        <f t="array" aca="1" ref="G90" ca="1">ColorNumber(E90)</f>
        <v>#NAME?</v>
      </c>
    </row>
    <row r="91" spans="1:7" hidden="1">
      <c r="A91" s="391">
        <v>115202</v>
      </c>
      <c r="B91" s="53" t="s">
        <v>137</v>
      </c>
      <c r="C91" s="394">
        <v>0</v>
      </c>
      <c r="D91" s="54">
        <v>24000</v>
      </c>
      <c r="E91" s="54"/>
      <c r="F91" s="54"/>
      <c r="G91" t="e" cm="1">
        <f t="array" aca="1" ref="G91" ca="1">ColorNumber(E91)</f>
        <v>#NAME?</v>
      </c>
    </row>
    <row r="92" spans="1:7" hidden="1">
      <c r="A92" s="391">
        <v>115204</v>
      </c>
      <c r="B92" s="53" t="s">
        <v>242</v>
      </c>
      <c r="C92" s="394">
        <v>0</v>
      </c>
      <c r="D92" s="54">
        <v>12000</v>
      </c>
      <c r="E92" s="54"/>
      <c r="F92" s="54"/>
      <c r="G92" t="e" cm="1">
        <f t="array" aca="1" ref="G92" ca="1">ColorNumber(E92)</f>
        <v>#NAME?</v>
      </c>
    </row>
    <row r="93" spans="1:7" hidden="1">
      <c r="A93" s="391">
        <v>115205</v>
      </c>
      <c r="B93" s="53" t="s">
        <v>244</v>
      </c>
      <c r="C93" s="394">
        <v>0</v>
      </c>
      <c r="D93" s="54">
        <v>12000</v>
      </c>
      <c r="E93" s="54"/>
      <c r="F93" s="54"/>
      <c r="G93" t="e" cm="1">
        <f t="array" aca="1" ref="G93" ca="1">ColorNumber(E93)</f>
        <v>#NAME?</v>
      </c>
    </row>
    <row r="94" spans="1:7" hidden="1">
      <c r="A94" s="391">
        <v>115208</v>
      </c>
      <c r="B94" s="53" t="s">
        <v>139</v>
      </c>
      <c r="C94" s="394">
        <v>0</v>
      </c>
      <c r="D94" s="54">
        <v>12000</v>
      </c>
      <c r="E94" s="54"/>
      <c r="F94" s="54"/>
      <c r="G94" t="e" cm="1">
        <f t="array" aca="1" ref="G94" ca="1">ColorNumber(E94)</f>
        <v>#NAME?</v>
      </c>
    </row>
    <row r="95" spans="1:7">
      <c r="A95" s="391">
        <v>115119</v>
      </c>
      <c r="B95" s="53" t="s">
        <v>135</v>
      </c>
      <c r="C95" s="144"/>
      <c r="D95" s="54"/>
      <c r="E95" s="54"/>
      <c r="F95" s="54"/>
      <c r="G95"/>
    </row>
    <row r="96" spans="1:7">
      <c r="A96" s="391">
        <v>115120</v>
      </c>
      <c r="B96" s="53" t="s">
        <v>136</v>
      </c>
      <c r="C96" s="144"/>
      <c r="D96" s="54"/>
      <c r="E96" s="54"/>
      <c r="F96" s="54"/>
      <c r="G96"/>
    </row>
    <row r="97" spans="1:7">
      <c r="A97" s="391">
        <v>115121</v>
      </c>
      <c r="B97" s="53" t="s">
        <v>137</v>
      </c>
      <c r="C97" s="144"/>
      <c r="D97" s="54"/>
      <c r="E97" s="54"/>
      <c r="F97" s="54"/>
      <c r="G97"/>
    </row>
    <row r="98" spans="1:7">
      <c r="A98" s="391">
        <v>115122</v>
      </c>
      <c r="B98" s="53" t="s">
        <v>138</v>
      </c>
      <c r="C98" s="144"/>
      <c r="D98" s="54"/>
      <c r="E98" s="54"/>
      <c r="F98" s="54"/>
      <c r="G98"/>
    </row>
    <row r="99" spans="1:7" ht="20.149999999999999" customHeight="1">
      <c r="A99" s="1">
        <v>1152</v>
      </c>
      <c r="B99" s="11" t="s">
        <v>405</v>
      </c>
      <c r="C99" s="384"/>
      <c r="D99" s="52"/>
      <c r="E99" s="52"/>
      <c r="F99" s="52"/>
      <c r="G99"/>
    </row>
    <row r="100" spans="1:7" ht="12.9" customHeight="1">
      <c r="A100" s="391">
        <v>115201</v>
      </c>
      <c r="B100" s="53" t="s">
        <v>136</v>
      </c>
      <c r="C100" s="144"/>
      <c r="D100" s="54"/>
      <c r="E100" s="54"/>
      <c r="F100" s="54"/>
      <c r="G100"/>
    </row>
    <row r="101" spans="1:7" ht="12.45" customHeight="1">
      <c r="A101" s="391">
        <v>115202</v>
      </c>
      <c r="B101" s="53" t="s">
        <v>137</v>
      </c>
      <c r="C101" s="144"/>
      <c r="D101" s="54"/>
      <c r="E101" s="54"/>
      <c r="F101" s="54"/>
      <c r="G101"/>
    </row>
    <row r="102" spans="1:7" ht="11.15" customHeight="1">
      <c r="A102" s="391">
        <v>115205</v>
      </c>
      <c r="B102" s="53" t="s">
        <v>406</v>
      </c>
      <c r="C102" s="144"/>
      <c r="D102" s="54"/>
      <c r="E102" s="54"/>
      <c r="F102" s="54"/>
      <c r="G102"/>
    </row>
    <row r="103" spans="1:7">
      <c r="A103" s="3">
        <v>116</v>
      </c>
      <c r="B103" s="397" t="s">
        <v>140</v>
      </c>
      <c r="C103" s="170">
        <f>C104+C108</f>
        <v>0</v>
      </c>
      <c r="D103" s="62">
        <f>D104</f>
        <v>60000</v>
      </c>
      <c r="E103" s="62">
        <f>E104</f>
        <v>224649.19145999997</v>
      </c>
      <c r="F103" s="62">
        <f t="shared" ref="F103:F114" si="4">E103/12</f>
        <v>18720.765954999999</v>
      </c>
      <c r="G103" t="e" cm="1">
        <f t="array" aca="1" ref="G103" ca="1">ColorNumber(E103)</f>
        <v>#NAME?</v>
      </c>
    </row>
    <row r="104" spans="1:7">
      <c r="A104" s="1">
        <v>1161</v>
      </c>
      <c r="B104" s="11" t="s">
        <v>407</v>
      </c>
      <c r="C104" s="384">
        <f>SUBTOTAL(9,C105:C107)</f>
        <v>0</v>
      </c>
      <c r="D104" s="52">
        <f>SUBTOTAL(9,D105:D107)</f>
        <v>60000</v>
      </c>
      <c r="E104" s="52">
        <f>SUM(E105:E107)</f>
        <v>224649.19145999997</v>
      </c>
      <c r="F104" s="52">
        <f t="shared" si="4"/>
        <v>18720.765954999999</v>
      </c>
      <c r="G104" t="e" cm="1">
        <f t="array" aca="1" ref="G104" ca="1">ColorNumber(E104)</f>
        <v>#NAME?</v>
      </c>
    </row>
    <row r="105" spans="1:7">
      <c r="A105" s="4">
        <v>116101</v>
      </c>
      <c r="B105" s="53" t="s">
        <v>142</v>
      </c>
      <c r="C105" s="184">
        <v>0</v>
      </c>
      <c r="D105" s="54">
        <v>12000</v>
      </c>
      <c r="E105" s="54">
        <v>142906.033146</v>
      </c>
      <c r="F105" s="54">
        <f t="shared" si="4"/>
        <v>11908.836095500001</v>
      </c>
      <c r="G105" t="e" cm="1">
        <f t="array" aca="1" ref="G105" ca="1">ColorNumber(E105)</f>
        <v>#NAME?</v>
      </c>
    </row>
    <row r="106" spans="1:7">
      <c r="A106" s="4">
        <v>116102</v>
      </c>
      <c r="B106" s="53" t="s">
        <v>143</v>
      </c>
      <c r="C106" s="184">
        <v>0</v>
      </c>
      <c r="D106" s="54">
        <v>36000</v>
      </c>
      <c r="E106" s="54">
        <v>63578.012021999995</v>
      </c>
      <c r="F106" s="54">
        <f t="shared" si="4"/>
        <v>5298.1676684999993</v>
      </c>
      <c r="G106" t="e" cm="1">
        <f t="array" aca="1" ref="G106" ca="1">ColorNumber(E106)</f>
        <v>#NAME?</v>
      </c>
    </row>
    <row r="107" spans="1:7">
      <c r="A107" s="4">
        <v>116103</v>
      </c>
      <c r="B107" s="53" t="s">
        <v>144</v>
      </c>
      <c r="C107" s="184">
        <v>0</v>
      </c>
      <c r="D107" s="54">
        <v>12000</v>
      </c>
      <c r="E107" s="54">
        <v>18165.146292000001</v>
      </c>
      <c r="F107" s="54">
        <f t="shared" si="4"/>
        <v>1513.762191</v>
      </c>
      <c r="G107" t="e" cm="1">
        <f t="array" aca="1" ref="G107" ca="1">ColorNumber(E107)</f>
        <v>#NAME?</v>
      </c>
    </row>
    <row r="108" spans="1:7">
      <c r="A108" s="1">
        <v>1162</v>
      </c>
      <c r="B108" s="11" t="s">
        <v>140</v>
      </c>
      <c r="C108" s="12">
        <f>SUBTOTAL(9,C109:C109)</f>
        <v>0</v>
      </c>
      <c r="D108" s="388">
        <f>SUBTOTAL(9,D109:D109)</f>
        <v>6000</v>
      </c>
      <c r="E108" s="389">
        <v>10091.747940000001</v>
      </c>
      <c r="F108" s="390">
        <f t="shared" si="4"/>
        <v>840.97899500000005</v>
      </c>
      <c r="G108" t="e" cm="1">
        <f t="array" aca="1" ref="G108" ca="1">ColorNumber(E108)</f>
        <v>#NAME?</v>
      </c>
    </row>
    <row r="109" spans="1:7">
      <c r="A109" s="4">
        <v>116221</v>
      </c>
      <c r="B109" s="53" t="s">
        <v>245</v>
      </c>
      <c r="C109" s="54"/>
      <c r="D109" s="54">
        <v>6000</v>
      </c>
      <c r="E109" s="184">
        <v>10091.747940000001</v>
      </c>
      <c r="F109" s="54">
        <f t="shared" si="4"/>
        <v>840.97899500000005</v>
      </c>
      <c r="G109" t="e" cm="1">
        <f t="array" aca="1" ref="G109" ca="1">ColorNumber(E109)</f>
        <v>#NAME?</v>
      </c>
    </row>
    <row r="110" spans="1:7">
      <c r="A110" s="2">
        <v>12</v>
      </c>
      <c r="B110" s="7" t="s">
        <v>145</v>
      </c>
      <c r="C110" s="8">
        <f t="shared" ref="C110:E111" si="5">C111</f>
        <v>4200000</v>
      </c>
      <c r="D110" s="8">
        <f t="shared" si="5"/>
        <v>4200000</v>
      </c>
      <c r="E110" s="151">
        <f t="shared" si="5"/>
        <v>2400000</v>
      </c>
      <c r="F110" s="172">
        <f t="shared" si="4"/>
        <v>200000</v>
      </c>
      <c r="G110" t="e" cm="1">
        <f t="array" aca="1" ref="G110" ca="1">ColorNumber(E110)</f>
        <v>#NAME?</v>
      </c>
    </row>
    <row r="111" spans="1:7" s="51" customFormat="1">
      <c r="A111" s="3">
        <v>121</v>
      </c>
      <c r="B111" s="9" t="s">
        <v>145</v>
      </c>
      <c r="C111" s="10">
        <f t="shared" si="5"/>
        <v>4200000</v>
      </c>
      <c r="D111" s="10">
        <f t="shared" si="5"/>
        <v>4200000</v>
      </c>
      <c r="E111" s="170">
        <f t="shared" si="5"/>
        <v>2400000</v>
      </c>
      <c r="F111" s="62">
        <f t="shared" si="4"/>
        <v>200000</v>
      </c>
      <c r="G111" t="e" cm="1">
        <f t="array" aca="1" ref="G111" ca="1">ColorNumber(E111)</f>
        <v>#NAME?</v>
      </c>
    </row>
    <row r="112" spans="1:7">
      <c r="A112" s="1">
        <v>1211</v>
      </c>
      <c r="B112" s="11" t="s">
        <v>145</v>
      </c>
      <c r="C112" s="12">
        <f>SUBTOTAL(9,C113:C113)</f>
        <v>4200000</v>
      </c>
      <c r="D112" s="12">
        <f>SUBTOTAL(9,D113:D113)</f>
        <v>4200000</v>
      </c>
      <c r="E112" s="183">
        <f>E113</f>
        <v>2400000</v>
      </c>
      <c r="F112" s="52">
        <f t="shared" si="4"/>
        <v>200000</v>
      </c>
      <c r="G112" t="e" cm="1">
        <f t="array" aca="1" ref="G112" ca="1">ColorNumber(E112)</f>
        <v>#NAME?</v>
      </c>
    </row>
    <row r="113" spans="1:7">
      <c r="A113" s="4">
        <v>121104</v>
      </c>
      <c r="B113" s="53" t="s">
        <v>145</v>
      </c>
      <c r="C113" s="55">
        <v>4200000</v>
      </c>
      <c r="D113" s="55">
        <v>4200000</v>
      </c>
      <c r="E113" s="154">
        <v>2400000</v>
      </c>
      <c r="F113" s="55">
        <f t="shared" si="4"/>
        <v>200000</v>
      </c>
      <c r="G113" t="e" cm="1">
        <f t="array" aca="1" ref="G113" ca="1">ColorNumber(E113)</f>
        <v>#NAME?</v>
      </c>
    </row>
    <row r="114" spans="1:7">
      <c r="A114" s="2">
        <v>13</v>
      </c>
      <c r="B114" s="7" t="s">
        <v>146</v>
      </c>
      <c r="C114" s="8">
        <f>C115</f>
        <v>0</v>
      </c>
      <c r="D114" s="8">
        <f>D115</f>
        <v>360000</v>
      </c>
      <c r="E114" s="151">
        <f>E123+E127</f>
        <v>7931442.3144841176</v>
      </c>
      <c r="F114" s="172">
        <f t="shared" si="4"/>
        <v>660953.5262070098</v>
      </c>
      <c r="G114" t="e" cm="1">
        <f t="array" aca="1" ref="G114" ca="1">ColorNumber(E118)</f>
        <v>#NAME?</v>
      </c>
    </row>
    <row r="115" spans="1:7" hidden="1">
      <c r="A115" s="1">
        <v>1321</v>
      </c>
      <c r="B115" s="11" t="s">
        <v>148</v>
      </c>
      <c r="C115" s="12">
        <f>SUBTOTAL(9,C116:C117)</f>
        <v>0</v>
      </c>
      <c r="D115" s="12">
        <f>SUBTOTAL(9,D116:D117)</f>
        <v>360000</v>
      </c>
      <c r="E115" s="183"/>
      <c r="F115" s="52"/>
      <c r="G115" t="e" cm="1">
        <f t="array" aca="1" ref="G115" ca="1">ColorNumber(E119)</f>
        <v>#NAME?</v>
      </c>
    </row>
    <row r="116" spans="1:7" hidden="1">
      <c r="A116" s="4">
        <v>132101</v>
      </c>
      <c r="B116" s="53" t="s">
        <v>248</v>
      </c>
      <c r="C116" s="54">
        <v>0</v>
      </c>
      <c r="D116" s="54">
        <v>120000</v>
      </c>
      <c r="E116" s="184"/>
      <c r="F116" s="54"/>
      <c r="G116" t="e" cm="1">
        <f t="array" aca="1" ref="G116" ca="1">ColorNumber(E120)</f>
        <v>#NAME?</v>
      </c>
    </row>
    <row r="117" spans="1:7" hidden="1">
      <c r="A117" s="4">
        <v>132102</v>
      </c>
      <c r="B117" s="53" t="s">
        <v>249</v>
      </c>
      <c r="C117" s="54">
        <v>0</v>
      </c>
      <c r="D117" s="54">
        <v>240000</v>
      </c>
      <c r="E117" s="184"/>
      <c r="F117" s="54"/>
      <c r="G117" t="e" cm="1">
        <f t="array" aca="1" ref="G117" ca="1">ColorNumber(E121)</f>
        <v>#NAME?</v>
      </c>
    </row>
    <row r="118" spans="1:7" hidden="1">
      <c r="A118" s="2">
        <v>13</v>
      </c>
      <c r="B118" s="7" t="s">
        <v>146</v>
      </c>
      <c r="C118" s="8">
        <f>C119+C123+C127</f>
        <v>10401680</v>
      </c>
      <c r="D118" s="8">
        <f>D119+D123+D127</f>
        <v>6480000</v>
      </c>
      <c r="E118" s="151"/>
      <c r="F118" s="172"/>
      <c r="G118" t="e" cm="1">
        <f t="array" aca="1" ref="G118" ca="1">ColorNumber(E122)</f>
        <v>#NAME?</v>
      </c>
    </row>
    <row r="119" spans="1:7" hidden="1">
      <c r="A119" s="3">
        <v>131</v>
      </c>
      <c r="B119" s="9" t="s">
        <v>147</v>
      </c>
      <c r="C119" s="10">
        <f>C120</f>
        <v>0</v>
      </c>
      <c r="D119" s="10">
        <f>D120</f>
        <v>360000</v>
      </c>
      <c r="E119" s="170"/>
      <c r="F119" s="62"/>
      <c r="G119" t="e" cm="1">
        <f t="array" aca="1" ref="G119" ca="1">ColorNumber(E123)</f>
        <v>#NAME?</v>
      </c>
    </row>
    <row r="120" spans="1:7" hidden="1">
      <c r="A120" s="1">
        <v>1311</v>
      </c>
      <c r="B120" s="11" t="s">
        <v>147</v>
      </c>
      <c r="C120" s="12">
        <f>SUBTOTAL(9,C121:C122)</f>
        <v>0</v>
      </c>
      <c r="D120" s="12">
        <f>SUBTOTAL(9,D121:D122)</f>
        <v>360000</v>
      </c>
      <c r="E120" s="183"/>
      <c r="F120" s="52"/>
      <c r="G120" t="e" cm="1">
        <f t="array" aca="1" ref="G120" ca="1">ColorNumber(E124)</f>
        <v>#NAME?</v>
      </c>
    </row>
    <row r="121" spans="1:7" hidden="1">
      <c r="A121" s="4">
        <v>131101</v>
      </c>
      <c r="B121" s="53" t="s">
        <v>246</v>
      </c>
      <c r="C121" s="54">
        <v>0</v>
      </c>
      <c r="D121" s="54">
        <v>120000</v>
      </c>
      <c r="E121" s="184"/>
      <c r="F121" s="54"/>
      <c r="G121" t="e" cm="1">
        <f t="array" aca="1" ref="G121" ca="1">ColorNumber(E125)</f>
        <v>#NAME?</v>
      </c>
    </row>
    <row r="122" spans="1:7" hidden="1">
      <c r="A122" s="4">
        <v>131102</v>
      </c>
      <c r="B122" s="53" t="s">
        <v>247</v>
      </c>
      <c r="C122" s="54">
        <v>0</v>
      </c>
      <c r="D122" s="54">
        <v>240000</v>
      </c>
      <c r="E122" s="184"/>
      <c r="F122" s="54"/>
      <c r="G122" t="e" cm="1">
        <f t="array" aca="1" ref="G122" ca="1">ColorNumber(E126)</f>
        <v>#NAME?</v>
      </c>
    </row>
    <row r="123" spans="1:7">
      <c r="A123" s="3">
        <v>132</v>
      </c>
      <c r="B123" s="9" t="s">
        <v>148</v>
      </c>
      <c r="C123" s="10">
        <f>C124</f>
        <v>0</v>
      </c>
      <c r="D123" s="10">
        <f>D124</f>
        <v>360000</v>
      </c>
      <c r="E123" s="170">
        <f>E124</f>
        <v>4646256.0564841181</v>
      </c>
      <c r="F123" s="62">
        <f t="shared" ref="F123:F131" si="6">E123/12</f>
        <v>387188.00470700982</v>
      </c>
      <c r="G123" t="e" cm="1">
        <f t="array" aca="1" ref="G123" ca="1">ColorNumber(E127)</f>
        <v>#NAME?</v>
      </c>
    </row>
    <row r="124" spans="1:7">
      <c r="A124" s="1">
        <v>1321</v>
      </c>
      <c r="B124" s="11" t="s">
        <v>148</v>
      </c>
      <c r="C124" s="12">
        <f>SUBTOTAL(9,C125:C126)</f>
        <v>0</v>
      </c>
      <c r="D124" s="12">
        <f>SUBTOTAL(9,D125:D126)</f>
        <v>360000</v>
      </c>
      <c r="E124" s="183">
        <f>E125+E126</f>
        <v>4646256.0564841181</v>
      </c>
      <c r="F124" s="52">
        <f t="shared" si="6"/>
        <v>387188.00470700982</v>
      </c>
      <c r="G124" t="e" cm="1">
        <f t="array" aca="1" ref="G124" ca="1">ColorNumber(E128)</f>
        <v>#NAME?</v>
      </c>
    </row>
    <row r="125" spans="1:7">
      <c r="A125" s="4">
        <v>132101</v>
      </c>
      <c r="B125" s="53" t="s">
        <v>248</v>
      </c>
      <c r="C125" s="54">
        <v>0</v>
      </c>
      <c r="D125" s="54">
        <v>120000</v>
      </c>
      <c r="E125" s="184">
        <v>1255351.6299999999</v>
      </c>
      <c r="F125" s="54">
        <f t="shared" si="6"/>
        <v>104612.63583333332</v>
      </c>
      <c r="G125" t="e" cm="1">
        <f t="array" aca="1" ref="G125" ca="1">ColorNumber(E129)</f>
        <v>#NAME?</v>
      </c>
    </row>
    <row r="126" spans="1:7">
      <c r="A126" s="4">
        <v>132102</v>
      </c>
      <c r="B126" s="53" t="s">
        <v>249</v>
      </c>
      <c r="C126" s="54">
        <v>0</v>
      </c>
      <c r="D126" s="54">
        <v>240000</v>
      </c>
      <c r="E126" s="184">
        <v>3390904.4264841182</v>
      </c>
      <c r="F126" s="54">
        <f t="shared" si="6"/>
        <v>282575.36887367652</v>
      </c>
      <c r="G126" t="e" cm="1">
        <f t="array" aca="1" ref="G126" ca="1">ColorNumber(E130)</f>
        <v>#NAME?</v>
      </c>
    </row>
    <row r="127" spans="1:7">
      <c r="A127" s="3">
        <v>133</v>
      </c>
      <c r="B127" s="9" t="s">
        <v>250</v>
      </c>
      <c r="C127" s="10">
        <f>C128</f>
        <v>10401680</v>
      </c>
      <c r="D127" s="10">
        <f>D128</f>
        <v>5760000</v>
      </c>
      <c r="E127" s="170">
        <f>E128</f>
        <v>3285186.2579999999</v>
      </c>
      <c r="F127" s="62">
        <f t="shared" si="6"/>
        <v>273765.52149999997</v>
      </c>
      <c r="G127" t="e" cm="1">
        <f t="array" aca="1" ref="G127" ca="1">ColorNumber(E131)</f>
        <v>#NAME?</v>
      </c>
    </row>
    <row r="128" spans="1:7">
      <c r="A128" s="1">
        <v>1331</v>
      </c>
      <c r="B128" s="11" t="s">
        <v>251</v>
      </c>
      <c r="C128" s="12">
        <f>SUBTOTAL(9,C129:C130)</f>
        <v>10401680</v>
      </c>
      <c r="D128" s="12">
        <f>SUBTOTAL(9,D129:D130)</f>
        <v>5760000</v>
      </c>
      <c r="E128" s="183">
        <f>E130+E129</f>
        <v>3285186.2579999999</v>
      </c>
      <c r="F128" s="52">
        <f t="shared" si="6"/>
        <v>273765.52149999997</v>
      </c>
      <c r="G128" t="e" cm="1">
        <f t="array" aca="1" ref="G128" ca="1">ColorNumber(E132)</f>
        <v>#NAME?</v>
      </c>
    </row>
    <row r="129" spans="1:8">
      <c r="A129" s="4">
        <v>133101</v>
      </c>
      <c r="B129" s="53" t="s">
        <v>149</v>
      </c>
      <c r="C129" s="54">
        <v>10401680</v>
      </c>
      <c r="D129" s="54">
        <v>5400000</v>
      </c>
      <c r="E129" s="184">
        <v>2400000</v>
      </c>
      <c r="F129" s="54">
        <f t="shared" si="6"/>
        <v>200000</v>
      </c>
      <c r="G129" t="e" cm="1">
        <f t="array" aca="1" ref="G129" ca="1">ColorNumber(E133)</f>
        <v>#NAME?</v>
      </c>
    </row>
    <row r="130" spans="1:8">
      <c r="A130" s="4">
        <v>133103</v>
      </c>
      <c r="B130" s="53" t="s">
        <v>150</v>
      </c>
      <c r="C130" s="54">
        <v>0</v>
      </c>
      <c r="D130" s="54">
        <v>360000</v>
      </c>
      <c r="E130" s="184">
        <v>885186.25800000003</v>
      </c>
      <c r="F130" s="54">
        <f t="shared" si="6"/>
        <v>73765.521500000003</v>
      </c>
      <c r="G130" t="e" cm="1">
        <f t="array" aca="1" ref="G130" ca="1">ColorNumber(E135)</f>
        <v>#NAME?</v>
      </c>
    </row>
    <row r="131" spans="1:8">
      <c r="A131" s="2">
        <v>14</v>
      </c>
      <c r="B131" s="7" t="s">
        <v>151</v>
      </c>
      <c r="C131" s="8">
        <f>C132+C139+C196</f>
        <v>681000</v>
      </c>
      <c r="D131" s="8">
        <f>D132+D139+D196</f>
        <v>1458000</v>
      </c>
      <c r="E131" s="151">
        <f>E132</f>
        <v>747398.63164519926</v>
      </c>
      <c r="F131" s="172">
        <f t="shared" si="6"/>
        <v>62283.219303766607</v>
      </c>
      <c r="G131" t="e" cm="1">
        <f t="array" aca="1" ref="G131" ca="1">ColorNumber(E136)</f>
        <v>#NAME?</v>
      </c>
    </row>
    <row r="132" spans="1:8" s="56" customFormat="1" hidden="1">
      <c r="A132" s="3">
        <v>142</v>
      </c>
      <c r="B132" s="9" t="s">
        <v>152</v>
      </c>
      <c r="C132" s="10">
        <f>C133</f>
        <v>0</v>
      </c>
      <c r="D132" s="10">
        <f>D133</f>
        <v>96000</v>
      </c>
      <c r="E132" s="170">
        <f>E133+E139+E196</f>
        <v>747398.63164519926</v>
      </c>
      <c r="F132" s="62"/>
      <c r="G132" t="e" cm="1">
        <f t="array" aca="1" ref="G132" ca="1">ColorNumber(E137)</f>
        <v>#NAME?</v>
      </c>
    </row>
    <row r="133" spans="1:8" s="56" customFormat="1" hidden="1">
      <c r="A133" s="1">
        <v>1421</v>
      </c>
      <c r="B133" s="11" t="s">
        <v>152</v>
      </c>
      <c r="C133" s="12">
        <f>SUBTOTAL(9,C135:C138)</f>
        <v>0</v>
      </c>
      <c r="D133" s="12">
        <f>SUBTOTAL(9,D135:D138)</f>
        <v>96000</v>
      </c>
      <c r="E133" s="183">
        <f>SUM(E135:E136)</f>
        <v>170327.85579999984</v>
      </c>
      <c r="F133" s="52"/>
      <c r="G133" t="e" cm="1">
        <f t="array" aca="1" ref="G133" ca="1">ColorNumber(E138)</f>
        <v>#NAME?</v>
      </c>
    </row>
    <row r="134" spans="1:8" s="56" customFormat="1">
      <c r="A134" s="94">
        <v>141</v>
      </c>
      <c r="B134" s="95" t="s">
        <v>152</v>
      </c>
      <c r="C134" s="96"/>
      <c r="D134" s="96">
        <f>SUM(D135:D136)</f>
        <v>48000</v>
      </c>
      <c r="E134" s="186">
        <f>E135+E136</f>
        <v>170327.85579999984</v>
      </c>
      <c r="F134" s="97">
        <f>E134/12</f>
        <v>14193.98798333332</v>
      </c>
      <c r="G134"/>
    </row>
    <row r="135" spans="1:8">
      <c r="A135" s="4">
        <v>142101</v>
      </c>
      <c r="B135" s="53" t="s">
        <v>408</v>
      </c>
      <c r="C135" s="54">
        <v>0</v>
      </c>
      <c r="D135" s="54">
        <v>24000</v>
      </c>
      <c r="E135" s="184">
        <v>136262.28463999988</v>
      </c>
      <c r="F135" s="54">
        <f>E135/12</f>
        <v>11355.190386666656</v>
      </c>
      <c r="G135" t="e" cm="1">
        <f t="array" aca="1" ref="G135" ca="1">ColorNumber(E139)</f>
        <v>#NAME?</v>
      </c>
    </row>
    <row r="136" spans="1:8">
      <c r="A136" s="4">
        <v>142102</v>
      </c>
      <c r="B136" s="53" t="s">
        <v>409</v>
      </c>
      <c r="C136" s="54">
        <v>0</v>
      </c>
      <c r="D136" s="54">
        <v>24000</v>
      </c>
      <c r="E136" s="184">
        <v>34065.57115999997</v>
      </c>
      <c r="F136" s="54">
        <f>E136/12</f>
        <v>2838.797596666664</v>
      </c>
      <c r="G136" t="e" cm="1">
        <f t="array" aca="1" ref="G136" ca="1">ColorNumber(E140)</f>
        <v>#NAME?</v>
      </c>
    </row>
    <row r="137" spans="1:8" hidden="1">
      <c r="A137" s="71">
        <v>142103</v>
      </c>
      <c r="B137" s="53" t="s">
        <v>155</v>
      </c>
      <c r="C137" s="54">
        <v>0</v>
      </c>
      <c r="D137" s="54">
        <v>24000</v>
      </c>
      <c r="E137" s="184"/>
      <c r="F137" s="54"/>
      <c r="G137" t="e" cm="1">
        <f t="array" aca="1" ref="G137" ca="1">ColorNumber(E141)</f>
        <v>#NAME?</v>
      </c>
      <c r="H137" s="90" t="e">
        <f>SUM(#REF!)</f>
        <v>#REF!</v>
      </c>
    </row>
    <row r="138" spans="1:8" hidden="1">
      <c r="A138" s="71">
        <v>142104</v>
      </c>
      <c r="B138" s="53" t="s">
        <v>156</v>
      </c>
      <c r="C138" s="54">
        <v>0</v>
      </c>
      <c r="D138" s="54">
        <v>24000</v>
      </c>
      <c r="E138" s="184"/>
      <c r="F138" s="54"/>
      <c r="G138" t="e" cm="1">
        <f t="array" aca="1" ref="G138" ca="1">ColorNumber(E142)</f>
        <v>#NAME?</v>
      </c>
    </row>
    <row r="139" spans="1:8">
      <c r="A139" s="85">
        <v>142</v>
      </c>
      <c r="B139" s="86" t="s">
        <v>157</v>
      </c>
      <c r="C139" s="62">
        <f>C140</f>
        <v>681000</v>
      </c>
      <c r="D139" s="62">
        <f>D140</f>
        <v>1326000</v>
      </c>
      <c r="E139" s="187">
        <f>E140</f>
        <v>526994.38584519934</v>
      </c>
      <c r="F139" s="62">
        <f>E139/12</f>
        <v>43916.198820433281</v>
      </c>
      <c r="G139" t="e" cm="1">
        <f t="array" aca="1" ref="G139" ca="1">ColorNumber(E143)</f>
        <v>#NAME?</v>
      </c>
    </row>
    <row r="140" spans="1:8" hidden="1">
      <c r="A140" s="74">
        <v>1422</v>
      </c>
      <c r="B140" s="75" t="s">
        <v>158</v>
      </c>
      <c r="C140" s="12">
        <f>SUBTOTAL(9,C141:C195)</f>
        <v>681000</v>
      </c>
      <c r="D140" s="12">
        <f>SUBTOTAL(9,D141:D195)</f>
        <v>1326000</v>
      </c>
      <c r="E140" s="183">
        <f>SUM(E141:E195)</f>
        <v>526994.38584519934</v>
      </c>
      <c r="F140" s="52"/>
      <c r="G140" t="e" cm="1">
        <f t="array" aca="1" ref="G140" ca="1">ColorNumber(E144)</f>
        <v>#NAME?</v>
      </c>
    </row>
    <row r="141" spans="1:8">
      <c r="A141" s="57">
        <v>142202</v>
      </c>
      <c r="B141" s="58" t="s">
        <v>159</v>
      </c>
      <c r="C141" s="54">
        <v>0</v>
      </c>
      <c r="D141" s="54">
        <v>72000</v>
      </c>
      <c r="E141" s="184">
        <v>28955.735485999976</v>
      </c>
      <c r="F141" s="54">
        <f>E141/12</f>
        <v>2412.9779571666645</v>
      </c>
      <c r="G141" t="e" cm="1">
        <f t="array" aca="1" ref="G141" ca="1">ColorNumber(E147)</f>
        <v>#NAME?</v>
      </c>
    </row>
    <row r="142" spans="1:8" hidden="1">
      <c r="A142" s="57">
        <v>142203</v>
      </c>
      <c r="B142" s="58" t="s">
        <v>160</v>
      </c>
      <c r="C142" s="54">
        <v>0</v>
      </c>
      <c r="D142" s="54">
        <v>12000</v>
      </c>
      <c r="E142" s="184"/>
      <c r="F142" s="54"/>
      <c r="G142" t="e" cm="1">
        <f t="array" aca="1" ref="G142" ca="1">ColorNumber(E148)</f>
        <v>#NAME?</v>
      </c>
    </row>
    <row r="143" spans="1:8" hidden="1">
      <c r="A143" s="57">
        <v>142204</v>
      </c>
      <c r="B143" s="58" t="s">
        <v>161</v>
      </c>
      <c r="C143" s="54">
        <v>0</v>
      </c>
      <c r="D143" s="54">
        <v>36000</v>
      </c>
      <c r="E143" s="184">
        <v>5791.1470971999943</v>
      </c>
      <c r="F143" s="54"/>
      <c r="G143" t="e" cm="1">
        <f t="array" aca="1" ref="G143" ca="1">ColorNumber(E149)</f>
        <v>#NAME?</v>
      </c>
    </row>
    <row r="144" spans="1:8" hidden="1">
      <c r="A144" s="57">
        <v>142205</v>
      </c>
      <c r="B144" s="58" t="s">
        <v>252</v>
      </c>
      <c r="C144" s="54">
        <v>0</v>
      </c>
      <c r="D144" s="54">
        <v>12000</v>
      </c>
      <c r="E144" s="184"/>
      <c r="F144" s="54"/>
      <c r="G144" t="e" cm="1">
        <f t="array" aca="1" ref="G144" ca="1">ColorNumber(E151)</f>
        <v>#NAME?</v>
      </c>
    </row>
    <row r="145" spans="1:7">
      <c r="A145" s="57">
        <v>142203</v>
      </c>
      <c r="B145" s="58" t="s">
        <v>410</v>
      </c>
      <c r="C145" s="54"/>
      <c r="D145" s="54"/>
      <c r="E145" s="184"/>
      <c r="F145" s="54"/>
      <c r="G145"/>
    </row>
    <row r="146" spans="1:7">
      <c r="A146" s="57">
        <v>142204</v>
      </c>
      <c r="B146" s="58" t="s">
        <v>411</v>
      </c>
      <c r="C146" s="54"/>
      <c r="D146" s="54"/>
      <c r="E146" s="184"/>
      <c r="F146" s="54"/>
      <c r="G146"/>
    </row>
    <row r="147" spans="1:7">
      <c r="A147" s="57">
        <v>142206</v>
      </c>
      <c r="B147" s="58" t="s">
        <v>162</v>
      </c>
      <c r="C147" s="54">
        <v>190000</v>
      </c>
      <c r="D147" s="54">
        <v>24000</v>
      </c>
      <c r="E147" s="184">
        <v>11582.294194399989</v>
      </c>
      <c r="F147" s="54">
        <f>E147/12</f>
        <v>965.19118286666571</v>
      </c>
      <c r="G147" t="e" cm="1">
        <f t="array" aca="1" ref="G147" ca="1">ColorNumber(E152)</f>
        <v>#NAME?</v>
      </c>
    </row>
    <row r="148" spans="1:7">
      <c r="A148" s="57">
        <v>142207</v>
      </c>
      <c r="B148" s="58" t="s">
        <v>253</v>
      </c>
      <c r="C148" s="54">
        <v>350000</v>
      </c>
      <c r="D148" s="54">
        <v>72000</v>
      </c>
      <c r="E148" s="184">
        <v>69493.765166399928</v>
      </c>
      <c r="F148" s="54">
        <f>E148/12</f>
        <v>5791.1470971999943</v>
      </c>
      <c r="G148" t="e" cm="1">
        <f t="array" aca="1" ref="G148" ca="1">ColorNumber(E154)</f>
        <v>#NAME?</v>
      </c>
    </row>
    <row r="149" spans="1:7" hidden="1">
      <c r="A149" s="57">
        <v>142208</v>
      </c>
      <c r="B149" s="58" t="s">
        <v>254</v>
      </c>
      <c r="C149" s="54">
        <v>0</v>
      </c>
      <c r="D149" s="54">
        <v>6000</v>
      </c>
      <c r="E149" s="184"/>
      <c r="F149" s="54"/>
      <c r="G149" t="e" cm="1">
        <f t="array" aca="1" ref="G149" ca="1">ColorNumber(#REF!)</f>
        <v>#NAME?</v>
      </c>
    </row>
    <row r="150" spans="1:7">
      <c r="A150" s="57">
        <v>142208</v>
      </c>
      <c r="B150" s="58" t="s">
        <v>254</v>
      </c>
      <c r="C150" s="54"/>
      <c r="D150" s="54"/>
      <c r="E150" s="184"/>
      <c r="F150" s="54"/>
      <c r="G150"/>
    </row>
    <row r="151" spans="1:7">
      <c r="A151" s="57">
        <v>142210</v>
      </c>
      <c r="B151" s="58" t="s">
        <v>163</v>
      </c>
      <c r="C151" s="54">
        <v>0</v>
      </c>
      <c r="D151" s="54">
        <v>12000</v>
      </c>
      <c r="E151" s="184">
        <v>11582.294194399989</v>
      </c>
      <c r="F151" s="54">
        <f>E151/12</f>
        <v>965.19118286666571</v>
      </c>
      <c r="G151" t="e" cm="1">
        <f t="array" aca="1" ref="G151" ca="1">ColorNumber(E156)</f>
        <v>#NAME?</v>
      </c>
    </row>
    <row r="152" spans="1:7" hidden="1">
      <c r="A152" s="57">
        <v>142211</v>
      </c>
      <c r="B152" s="58" t="s">
        <v>164</v>
      </c>
      <c r="C152" s="54">
        <v>0</v>
      </c>
      <c r="D152" s="54">
        <v>12000</v>
      </c>
      <c r="E152" s="184">
        <v>23164.588388799977</v>
      </c>
      <c r="F152" s="54"/>
      <c r="G152" t="e" cm="1">
        <f t="array" aca="1" ref="G152" ca="1">ColorNumber(E157)</f>
        <v>#NAME?</v>
      </c>
    </row>
    <row r="153" spans="1:7">
      <c r="A153" s="57">
        <v>142211</v>
      </c>
      <c r="B153" s="58" t="s">
        <v>164</v>
      </c>
      <c r="C153" s="54"/>
      <c r="D153" s="54"/>
      <c r="E153" s="184"/>
      <c r="F153" s="54"/>
      <c r="G153"/>
    </row>
    <row r="154" spans="1:7">
      <c r="A154" s="57">
        <v>142212</v>
      </c>
      <c r="B154" s="58" t="s">
        <v>165</v>
      </c>
      <c r="C154" s="54">
        <v>0</v>
      </c>
      <c r="D154" s="54">
        <v>12000</v>
      </c>
      <c r="E154" s="184">
        <v>11582.294194399989</v>
      </c>
      <c r="F154" s="54">
        <f>E154/12</f>
        <v>965.19118286666571</v>
      </c>
      <c r="G154" t="e" cm="1">
        <f t="array" aca="1" ref="G154" ca="1">ColorNumber(E158)</f>
        <v>#NAME?</v>
      </c>
    </row>
    <row r="155" spans="1:7">
      <c r="A155" s="57">
        <v>142216</v>
      </c>
      <c r="B155" s="58" t="s">
        <v>412</v>
      </c>
      <c r="C155" s="54"/>
      <c r="D155" s="54"/>
      <c r="E155" s="184"/>
      <c r="F155" s="54"/>
      <c r="G155"/>
    </row>
    <row r="156" spans="1:7">
      <c r="A156" s="57">
        <v>142217</v>
      </c>
      <c r="B156" s="58" t="s">
        <v>167</v>
      </c>
      <c r="C156" s="54">
        <v>0</v>
      </c>
      <c r="D156" s="54">
        <v>6000</v>
      </c>
      <c r="E156" s="184">
        <v>5791.1470971999943</v>
      </c>
      <c r="F156" s="54">
        <f>E156/12</f>
        <v>482.59559143333286</v>
      </c>
      <c r="G156" t="e" cm="1">
        <f t="array" aca="1" ref="G156" ca="1">ColorNumber(E160)</f>
        <v>#NAME?</v>
      </c>
    </row>
    <row r="157" spans="1:7" hidden="1">
      <c r="A157" s="57">
        <v>142222</v>
      </c>
      <c r="B157" s="58" t="s">
        <v>168</v>
      </c>
      <c r="C157" s="54">
        <v>0</v>
      </c>
      <c r="D157" s="54">
        <v>6000</v>
      </c>
      <c r="E157" s="184"/>
      <c r="F157" s="54"/>
      <c r="G157" t="e" cm="1">
        <f t="array" aca="1" ref="G157" ca="1">ColorNumber(E161)</f>
        <v>#NAME?</v>
      </c>
    </row>
    <row r="158" spans="1:7" hidden="1">
      <c r="A158" s="57">
        <v>142229</v>
      </c>
      <c r="B158" s="58" t="s">
        <v>169</v>
      </c>
      <c r="C158" s="54">
        <v>105000</v>
      </c>
      <c r="D158" s="54">
        <v>150000</v>
      </c>
      <c r="E158" s="184">
        <v>63702.61806919994</v>
      </c>
      <c r="F158" s="54"/>
      <c r="G158" t="e" cm="1">
        <f t="array" aca="1" ref="G158" ca="1">ColorNumber(E162)</f>
        <v>#NAME?</v>
      </c>
    </row>
    <row r="159" spans="1:7" hidden="1">
      <c r="A159" s="57">
        <v>142231</v>
      </c>
      <c r="B159" s="58" t="s">
        <v>170</v>
      </c>
      <c r="C159" s="54">
        <v>0</v>
      </c>
      <c r="D159" s="54">
        <v>450000</v>
      </c>
      <c r="E159" s="184">
        <v>144778.67742999987</v>
      </c>
      <c r="F159" s="54"/>
      <c r="G159" t="e" cm="1">
        <f t="array" aca="1" ref="G159" ca="1">ColorNumber(#REF!)</f>
        <v>#NAME?</v>
      </c>
    </row>
    <row r="160" spans="1:7" hidden="1">
      <c r="A160" s="57">
        <v>142233</v>
      </c>
      <c r="B160" s="58" t="s">
        <v>171</v>
      </c>
      <c r="C160" s="54">
        <v>0</v>
      </c>
      <c r="D160" s="54">
        <v>60000</v>
      </c>
      <c r="E160" s="184">
        <v>11582.294194399989</v>
      </c>
      <c r="F160" s="54"/>
      <c r="G160" t="e" cm="1">
        <f t="array" aca="1" ref="G160" ca="1">ColorNumber(E163)</f>
        <v>#NAME?</v>
      </c>
    </row>
    <row r="161" spans="1:7" hidden="1">
      <c r="A161" s="57">
        <v>142234</v>
      </c>
      <c r="B161" s="58" t="s">
        <v>172</v>
      </c>
      <c r="C161" s="54">
        <v>0</v>
      </c>
      <c r="D161" s="54">
        <v>6000</v>
      </c>
      <c r="E161" s="184"/>
      <c r="F161" s="54"/>
      <c r="G161" t="e" cm="1">
        <f t="array" aca="1" ref="G161" ca="1">ColorNumber(E164)</f>
        <v>#NAME?</v>
      </c>
    </row>
    <row r="162" spans="1:7" hidden="1">
      <c r="A162" s="57">
        <v>142235</v>
      </c>
      <c r="B162" s="58" t="s">
        <v>173</v>
      </c>
      <c r="C162" s="54">
        <v>0</v>
      </c>
      <c r="D162" s="54">
        <v>6000</v>
      </c>
      <c r="E162" s="184"/>
      <c r="F162" s="54"/>
      <c r="G162" t="e" cm="1">
        <f t="array" aca="1" ref="G162" ca="1">ColorNumber(#REF!)</f>
        <v>#NAME?</v>
      </c>
    </row>
    <row r="163" spans="1:7" hidden="1">
      <c r="A163" s="57">
        <v>142237</v>
      </c>
      <c r="B163" s="58" t="s">
        <v>175</v>
      </c>
      <c r="C163" s="54">
        <v>0</v>
      </c>
      <c r="D163" s="54">
        <v>6000</v>
      </c>
      <c r="E163" s="184"/>
      <c r="F163" s="54"/>
      <c r="G163" t="e" cm="1">
        <f t="array" aca="1" ref="G163" ca="1">ColorNumber(#REF!)</f>
        <v>#NAME?</v>
      </c>
    </row>
    <row r="164" spans="1:7" hidden="1">
      <c r="A164" s="57">
        <v>142238</v>
      </c>
      <c r="B164" s="58" t="s">
        <v>176</v>
      </c>
      <c r="C164" s="54">
        <v>0</v>
      </c>
      <c r="D164" s="54">
        <v>12000</v>
      </c>
      <c r="E164" s="184">
        <v>5791.1470971999943</v>
      </c>
      <c r="F164" s="54"/>
      <c r="G164" t="e" cm="1">
        <f t="array" aca="1" ref="G164" ca="1">ColorNumber(#REF!)</f>
        <v>#NAME?</v>
      </c>
    </row>
    <row r="165" spans="1:7">
      <c r="A165" s="57">
        <v>142221</v>
      </c>
      <c r="B165" s="58" t="s">
        <v>413</v>
      </c>
      <c r="C165" s="54"/>
      <c r="D165" s="54"/>
      <c r="E165" s="184"/>
      <c r="F165" s="54"/>
      <c r="G165"/>
    </row>
    <row r="166" spans="1:7">
      <c r="A166" s="57">
        <v>142222</v>
      </c>
      <c r="B166" s="58" t="s">
        <v>414</v>
      </c>
      <c r="C166" s="54"/>
      <c r="D166" s="54"/>
      <c r="E166" s="184"/>
      <c r="F166" s="54"/>
      <c r="G166"/>
    </row>
    <row r="167" spans="1:7">
      <c r="A167" s="57">
        <v>142229</v>
      </c>
      <c r="B167" s="58" t="s">
        <v>415</v>
      </c>
      <c r="C167" s="54"/>
      <c r="D167" s="54"/>
      <c r="E167" s="184"/>
      <c r="F167" s="54"/>
      <c r="G167"/>
    </row>
    <row r="168" spans="1:7">
      <c r="A168" s="57">
        <v>142230</v>
      </c>
      <c r="B168" s="58" t="s">
        <v>416</v>
      </c>
      <c r="C168" s="54"/>
      <c r="D168" s="54"/>
      <c r="E168" s="184"/>
      <c r="F168" s="54"/>
      <c r="G168"/>
    </row>
    <row r="169" spans="1:7">
      <c r="A169" s="57">
        <v>142231</v>
      </c>
      <c r="B169" s="58" t="s">
        <v>170</v>
      </c>
      <c r="C169" s="54"/>
      <c r="D169" s="54"/>
      <c r="E169" s="184"/>
      <c r="F169" s="54"/>
      <c r="G169"/>
    </row>
    <row r="170" spans="1:7">
      <c r="A170" s="57">
        <v>142232</v>
      </c>
      <c r="B170" s="58" t="s">
        <v>417</v>
      </c>
      <c r="C170" s="54"/>
      <c r="D170" s="54"/>
      <c r="E170" s="184"/>
      <c r="F170" s="54"/>
      <c r="G170"/>
    </row>
    <row r="171" spans="1:7">
      <c r="A171" s="57">
        <v>142233</v>
      </c>
      <c r="B171" s="58" t="s">
        <v>171</v>
      </c>
      <c r="C171" s="54"/>
      <c r="D171" s="54"/>
      <c r="E171" s="184"/>
      <c r="F171" s="54"/>
      <c r="G171"/>
    </row>
    <row r="172" spans="1:7">
      <c r="A172" s="57">
        <v>142236</v>
      </c>
      <c r="B172" s="58" t="s">
        <v>418</v>
      </c>
      <c r="C172" s="54"/>
      <c r="D172" s="54"/>
      <c r="E172" s="184"/>
      <c r="F172" s="54"/>
      <c r="G172"/>
    </row>
    <row r="173" spans="1:7">
      <c r="A173" s="57">
        <v>142237</v>
      </c>
      <c r="B173" s="58" t="s">
        <v>175</v>
      </c>
      <c r="C173" s="54"/>
      <c r="D173" s="54"/>
      <c r="E173" s="184"/>
      <c r="F173" s="54"/>
      <c r="G173"/>
    </row>
    <row r="174" spans="1:7" hidden="1">
      <c r="A174" s="57">
        <v>142246</v>
      </c>
      <c r="B174" s="58" t="s">
        <v>182</v>
      </c>
      <c r="C174" s="54">
        <v>0</v>
      </c>
      <c r="D174" s="54">
        <v>3000</v>
      </c>
      <c r="E174" s="184"/>
      <c r="F174" s="54"/>
      <c r="G174" t="e" cm="1">
        <f t="array" aca="1" ref="G174" ca="1">ColorNumber(E178)</f>
        <v>#NAME?</v>
      </c>
    </row>
    <row r="175" spans="1:7" hidden="1">
      <c r="A175" s="57">
        <v>142247</v>
      </c>
      <c r="B175" s="58" t="s">
        <v>183</v>
      </c>
      <c r="C175" s="54">
        <v>0</v>
      </c>
      <c r="D175" s="54">
        <v>24000</v>
      </c>
      <c r="E175" s="60">
        <v>11582.294194399989</v>
      </c>
      <c r="F175" s="190"/>
      <c r="G175" t="e" cm="1">
        <f t="array" aca="1" ref="G175" ca="1">ColorNumber(E179)</f>
        <v>#NAME?</v>
      </c>
    </row>
    <row r="176" spans="1:7" hidden="1">
      <c r="A176" s="57">
        <v>142248</v>
      </c>
      <c r="B176" s="58" t="s">
        <v>184</v>
      </c>
      <c r="C176" s="54">
        <v>0</v>
      </c>
      <c r="D176" s="54">
        <v>3000</v>
      </c>
      <c r="E176" s="184"/>
      <c r="F176" s="54"/>
      <c r="G176" t="e" cm="1">
        <f t="array" aca="1" ref="G176" ca="1">ColorNumber(E180)</f>
        <v>#NAME?</v>
      </c>
    </row>
    <row r="177" spans="1:7" hidden="1">
      <c r="A177" s="57">
        <v>142249</v>
      </c>
      <c r="B177" s="58" t="s">
        <v>185</v>
      </c>
      <c r="C177" s="54">
        <v>0</v>
      </c>
      <c r="D177" s="54">
        <v>12000</v>
      </c>
      <c r="E177" s="184">
        <v>40538.029680399966</v>
      </c>
      <c r="F177" s="54"/>
      <c r="G177" t="e" cm="1">
        <f t="array" aca="1" ref="G177" ca="1">ColorNumber(E181)</f>
        <v>#NAME?</v>
      </c>
    </row>
    <row r="178" spans="1:7" hidden="1">
      <c r="A178" s="57">
        <v>142250</v>
      </c>
      <c r="B178" s="58" t="s">
        <v>186</v>
      </c>
      <c r="C178" s="54">
        <v>0</v>
      </c>
      <c r="D178" s="54">
        <v>60000</v>
      </c>
      <c r="E178" s="184"/>
      <c r="F178" s="54"/>
      <c r="G178" t="e" cm="1">
        <f t="array" aca="1" ref="G178" ca="1">ColorNumber(E182)</f>
        <v>#NAME?</v>
      </c>
    </row>
    <row r="179" spans="1:7" hidden="1">
      <c r="A179" s="57">
        <v>142251</v>
      </c>
      <c r="B179" s="58" t="s">
        <v>187</v>
      </c>
      <c r="C179" s="54">
        <v>0</v>
      </c>
      <c r="D179" s="54">
        <v>60000</v>
      </c>
      <c r="E179" s="184"/>
      <c r="F179" s="54"/>
      <c r="G179" t="e" cm="1">
        <f t="array" aca="1" ref="G179" ca="1">ColorNumber(E183)</f>
        <v>#NAME?</v>
      </c>
    </row>
    <row r="180" spans="1:7" hidden="1">
      <c r="A180" s="57">
        <v>142252</v>
      </c>
      <c r="B180" s="58" t="s">
        <v>188</v>
      </c>
      <c r="C180" s="54">
        <v>0</v>
      </c>
      <c r="D180" s="54">
        <v>60000</v>
      </c>
      <c r="E180" s="184"/>
      <c r="F180" s="54"/>
      <c r="G180" t="e" cm="1">
        <f t="array" aca="1" ref="G180" ca="1">ColorNumber(E184)</f>
        <v>#NAME?</v>
      </c>
    </row>
    <row r="181" spans="1:7" hidden="1">
      <c r="A181" s="57">
        <v>142253</v>
      </c>
      <c r="B181" s="58" t="s">
        <v>189</v>
      </c>
      <c r="C181" s="54">
        <v>0</v>
      </c>
      <c r="D181" s="54">
        <v>36000</v>
      </c>
      <c r="E181" s="184"/>
      <c r="F181" s="54"/>
      <c r="G181" t="e" cm="1">
        <f t="array" aca="1" ref="G181" ca="1">ColorNumber(E195)</f>
        <v>#NAME?</v>
      </c>
    </row>
    <row r="182" spans="1:7" hidden="1">
      <c r="A182" s="57">
        <v>142254</v>
      </c>
      <c r="B182" s="58" t="s">
        <v>190</v>
      </c>
      <c r="C182" s="54">
        <v>36000</v>
      </c>
      <c r="D182" s="54">
        <v>48000</v>
      </c>
      <c r="E182" s="184">
        <v>34746.882583199964</v>
      </c>
      <c r="F182" s="54"/>
      <c r="G182" t="e" cm="1">
        <f t="array" aca="1" ref="G182" ca="1">ColorNumber(#REF!)</f>
        <v>#NAME?</v>
      </c>
    </row>
    <row r="183" spans="1:7" hidden="1">
      <c r="A183" s="57">
        <v>142255</v>
      </c>
      <c r="B183" s="58" t="s">
        <v>191</v>
      </c>
      <c r="C183" s="54">
        <v>0</v>
      </c>
      <c r="D183" s="54">
        <v>24000</v>
      </c>
      <c r="E183" s="184"/>
      <c r="F183" s="54"/>
      <c r="G183" t="e" cm="1">
        <f t="array" aca="1" ref="G183" ca="1">ColorNumber(#REF!)</f>
        <v>#NAME?</v>
      </c>
    </row>
    <row r="184" spans="1:7" hidden="1">
      <c r="A184" s="57">
        <v>142256</v>
      </c>
      <c r="B184" s="58" t="s">
        <v>255</v>
      </c>
      <c r="C184" s="54">
        <v>0</v>
      </c>
      <c r="D184" s="54">
        <v>12000</v>
      </c>
      <c r="E184" s="184">
        <v>5791.1470971999943</v>
      </c>
      <c r="F184" s="54"/>
      <c r="G184" t="e" cm="1">
        <f t="array" aca="1" ref="G184" ca="1">ColorNumber(#REF!)</f>
        <v>#NAME?</v>
      </c>
    </row>
    <row r="185" spans="1:7">
      <c r="A185" s="57">
        <v>142240</v>
      </c>
      <c r="B185" s="58" t="s">
        <v>178</v>
      </c>
      <c r="C185" s="54"/>
      <c r="D185" s="54"/>
      <c r="E185" s="184"/>
      <c r="F185" s="54"/>
      <c r="G185"/>
    </row>
    <row r="186" spans="1:7">
      <c r="A186" s="57">
        <v>142243</v>
      </c>
      <c r="B186" s="58" t="s">
        <v>419</v>
      </c>
      <c r="C186" s="54"/>
      <c r="D186" s="54"/>
      <c r="E186" s="184"/>
      <c r="F186" s="54"/>
      <c r="G186"/>
    </row>
    <row r="187" spans="1:7">
      <c r="A187" s="57">
        <v>142244</v>
      </c>
      <c r="B187" s="58" t="s">
        <v>420</v>
      </c>
      <c r="C187" s="54"/>
      <c r="D187" s="54"/>
      <c r="E187" s="184"/>
      <c r="F187" s="54"/>
      <c r="G187"/>
    </row>
    <row r="188" spans="1:7">
      <c r="A188" s="57">
        <v>142246</v>
      </c>
      <c r="B188" s="58" t="s">
        <v>182</v>
      </c>
      <c r="C188" s="54"/>
      <c r="D188" s="54"/>
      <c r="E188" s="184"/>
      <c r="F188" s="54"/>
      <c r="G188"/>
    </row>
    <row r="189" spans="1:7">
      <c r="A189" s="57">
        <v>142247</v>
      </c>
      <c r="B189" s="58" t="s">
        <v>421</v>
      </c>
      <c r="C189" s="54"/>
      <c r="D189" s="54"/>
      <c r="E189" s="184"/>
      <c r="F189" s="54"/>
      <c r="G189"/>
    </row>
    <row r="190" spans="1:7">
      <c r="A190" s="57">
        <v>142249</v>
      </c>
      <c r="B190" s="58" t="s">
        <v>185</v>
      </c>
      <c r="C190" s="54"/>
      <c r="D190" s="54"/>
      <c r="E190" s="184"/>
      <c r="F190" s="54"/>
      <c r="G190"/>
    </row>
    <row r="191" spans="1:7">
      <c r="A191" s="57">
        <v>142250</v>
      </c>
      <c r="B191" s="58" t="s">
        <v>186</v>
      </c>
      <c r="C191" s="54"/>
      <c r="D191" s="54"/>
      <c r="E191" s="184"/>
      <c r="F191" s="54"/>
      <c r="G191"/>
    </row>
    <row r="192" spans="1:7">
      <c r="A192" s="57">
        <v>142252</v>
      </c>
      <c r="B192" s="58" t="s">
        <v>188</v>
      </c>
      <c r="C192" s="54"/>
      <c r="D192" s="54"/>
      <c r="E192" s="184"/>
      <c r="F192" s="54"/>
      <c r="G192"/>
    </row>
    <row r="193" spans="1:7">
      <c r="A193" s="57">
        <v>142254</v>
      </c>
      <c r="B193" s="58" t="s">
        <v>190</v>
      </c>
      <c r="C193" s="54"/>
      <c r="D193" s="54"/>
      <c r="E193" s="184"/>
      <c r="F193" s="54"/>
      <c r="G193"/>
    </row>
    <row r="194" spans="1:7">
      <c r="A194" s="57">
        <v>142256</v>
      </c>
      <c r="B194" s="58" t="s">
        <v>422</v>
      </c>
      <c r="C194" s="54"/>
      <c r="D194" s="54"/>
      <c r="E194" s="184"/>
      <c r="F194" s="54"/>
      <c r="G194"/>
    </row>
    <row r="195" spans="1:7">
      <c r="A195" s="57">
        <v>142257</v>
      </c>
      <c r="B195" s="58" t="s">
        <v>192</v>
      </c>
      <c r="C195" s="54">
        <v>0</v>
      </c>
      <c r="D195" s="54">
        <v>12000</v>
      </c>
      <c r="E195" s="184">
        <v>40538.029680399966</v>
      </c>
      <c r="F195" s="54">
        <f t="shared" ref="F195:F201" si="7">E195/12</f>
        <v>3378.1691400333307</v>
      </c>
      <c r="G195" t="e" cm="1">
        <f t="array" aca="1" ref="G195" ca="1">ColorNumber(E196)</f>
        <v>#NAME?</v>
      </c>
    </row>
    <row r="196" spans="1:7">
      <c r="A196" s="85">
        <v>143</v>
      </c>
      <c r="B196" s="86" t="s">
        <v>256</v>
      </c>
      <c r="C196" s="62">
        <f>C197</f>
        <v>0</v>
      </c>
      <c r="D196" s="62">
        <f>D197</f>
        <v>36000</v>
      </c>
      <c r="E196" s="187">
        <f>E197</f>
        <v>50076.39</v>
      </c>
      <c r="F196" s="62">
        <f t="shared" si="7"/>
        <v>4173.0325000000003</v>
      </c>
      <c r="G196" t="e" cm="1">
        <f t="array" aca="1" ref="G196" ca="1">ColorNumber(E197)</f>
        <v>#NAME?</v>
      </c>
    </row>
    <row r="197" spans="1:7">
      <c r="A197" s="74">
        <v>1431</v>
      </c>
      <c r="B197" s="75" t="s">
        <v>196</v>
      </c>
      <c r="C197" s="12">
        <f>SUBTOTAL(9,C198:C199)</f>
        <v>0</v>
      </c>
      <c r="D197" s="12">
        <f>SUBTOTAL(9,D198:D199)</f>
        <v>36000</v>
      </c>
      <c r="E197" s="183">
        <f>E198</f>
        <v>50076.39</v>
      </c>
      <c r="F197" s="52">
        <f t="shared" si="7"/>
        <v>4173.0325000000003</v>
      </c>
      <c r="G197" t="e" cm="1">
        <f t="array" aca="1" ref="G197" ca="1">ColorNumber(E198)</f>
        <v>#NAME?</v>
      </c>
    </row>
    <row r="198" spans="1:7">
      <c r="A198" s="57">
        <v>143101</v>
      </c>
      <c r="B198" s="58" t="s">
        <v>197</v>
      </c>
      <c r="C198" s="54">
        <v>0</v>
      </c>
      <c r="D198" s="54">
        <v>24000</v>
      </c>
      <c r="E198" s="188">
        <f>E199</f>
        <v>50076.39</v>
      </c>
      <c r="F198" s="89">
        <f t="shared" si="7"/>
        <v>4173.0325000000003</v>
      </c>
      <c r="G198" t="e" cm="1">
        <f t="array" aca="1" ref="G198" ca="1">ColorNumber(E199)</f>
        <v>#NAME?</v>
      </c>
    </row>
    <row r="199" spans="1:7">
      <c r="A199" s="57">
        <v>143102</v>
      </c>
      <c r="B199" s="58" t="s">
        <v>198</v>
      </c>
      <c r="C199" s="54">
        <v>0</v>
      </c>
      <c r="D199" s="54">
        <v>12000</v>
      </c>
      <c r="E199" s="188">
        <v>50076.39</v>
      </c>
      <c r="F199" s="89">
        <f t="shared" si="7"/>
        <v>4173.0325000000003</v>
      </c>
      <c r="G199" t="e" cm="1">
        <f t="array" aca="1" ref="G199" ca="1">ColorNumber(E201)</f>
        <v>#NAME?</v>
      </c>
    </row>
    <row r="200" spans="1:7">
      <c r="A200" s="403">
        <v>143201</v>
      </c>
      <c r="B200" s="404" t="s">
        <v>423</v>
      </c>
      <c r="C200" s="144"/>
      <c r="D200" s="144"/>
      <c r="E200" s="405"/>
      <c r="F200" s="89"/>
      <c r="G200"/>
    </row>
    <row r="201" spans="1:7" ht="12.75" customHeight="1">
      <c r="A201" s="68">
        <v>1</v>
      </c>
      <c r="B201" s="68"/>
      <c r="C201" s="16" t="s">
        <v>85</v>
      </c>
      <c r="D201" s="17">
        <v>19812240</v>
      </c>
      <c r="E201" s="150" t="e">
        <f>E6</f>
        <v>#REF!</v>
      </c>
      <c r="F201" s="158" t="e">
        <f t="shared" si="7"/>
        <v>#REF!</v>
      </c>
      <c r="G201" t="e" cm="1">
        <f t="array" aca="1" ref="G201" ca="1">ColorNumber(E202)</f>
        <v>#NAME?</v>
      </c>
    </row>
  </sheetData>
  <autoFilter ref="A5:G195"/>
  <mergeCells count="4">
    <mergeCell ref="A1:E1"/>
    <mergeCell ref="A2:E2"/>
    <mergeCell ref="A3:E3"/>
    <mergeCell ref="A4:E4"/>
  </mergeCells>
  <printOptions horizontalCentered="1"/>
  <pageMargins left="0.7" right="0.7" top="0.75" bottom="0.75" header="0.3" footer="0.3"/>
  <pageSetup paperSize="9" scale="9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zoomScale="68" zoomScaleNormal="55" workbookViewId="0">
      <selection activeCell="A4" sqref="A4:M4"/>
    </sheetView>
  </sheetViews>
  <sheetFormatPr defaultColWidth="9.7265625" defaultRowHeight="26.15"/>
  <cols>
    <col min="1" max="1" width="11.453125" style="118" customWidth="1"/>
    <col min="2" max="2" width="78.453125" style="119" bestFit="1" customWidth="1"/>
    <col min="3" max="3" width="24.26953125" style="119" customWidth="1"/>
    <col min="4" max="4" width="22.26953125" style="119" customWidth="1"/>
    <col min="5" max="5" width="17.81640625" style="119" bestFit="1" customWidth="1"/>
    <col min="6" max="6" width="24" style="119" bestFit="1" customWidth="1"/>
    <col min="7" max="7" width="19.26953125" style="119" customWidth="1"/>
    <col min="8" max="8" width="21.7265625" style="119" customWidth="1"/>
    <col min="9" max="9" width="24.26953125" style="119" customWidth="1"/>
    <col min="10" max="10" width="20.1796875" style="119" customWidth="1"/>
    <col min="11" max="11" width="22" style="119" customWidth="1"/>
    <col min="12" max="12" width="18.453125" style="119" customWidth="1"/>
    <col min="13" max="13" width="22.1796875" style="128" bestFit="1" customWidth="1"/>
    <col min="14" max="14" width="9.7265625" style="117"/>
    <col min="15" max="15" width="30" style="117" bestFit="1" customWidth="1"/>
    <col min="16" max="16384" width="9.7265625" style="117"/>
  </cols>
  <sheetData>
    <row r="1" spans="1:15" ht="19.399999999999999" customHeight="1">
      <c r="A1" s="422" t="s">
        <v>262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</row>
    <row r="2" spans="1:15" ht="19.399999999999999" customHeight="1">
      <c r="A2" s="423" t="s">
        <v>258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</row>
    <row r="3" spans="1:15" ht="19.399999999999999" customHeight="1">
      <c r="B3" s="165"/>
      <c r="M3" s="120"/>
    </row>
    <row r="4" spans="1:15" ht="19.399999999999999" customHeight="1">
      <c r="A4" s="424" t="s">
        <v>263</v>
      </c>
      <c r="B4" s="424"/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</row>
    <row r="5" spans="1:15" s="122" customFormat="1" ht="25.3">
      <c r="A5" s="132">
        <v>100</v>
      </c>
      <c r="B5" s="132" t="s">
        <v>203</v>
      </c>
      <c r="C5" s="191" t="s">
        <v>200</v>
      </c>
      <c r="D5" s="191" t="s">
        <v>10</v>
      </c>
      <c r="E5" s="191" t="s">
        <v>17</v>
      </c>
      <c r="F5" s="191" t="s">
        <v>21</v>
      </c>
      <c r="G5" s="191" t="s">
        <v>201</v>
      </c>
      <c r="H5" s="191" t="s">
        <v>202</v>
      </c>
      <c r="I5" s="191" t="s">
        <v>26</v>
      </c>
      <c r="J5" s="191" t="s">
        <v>28</v>
      </c>
      <c r="K5" s="191" t="s">
        <v>29</v>
      </c>
      <c r="L5" s="191" t="s">
        <v>31</v>
      </c>
      <c r="M5" s="191" t="s">
        <v>204</v>
      </c>
      <c r="N5" s="121"/>
      <c r="O5" s="121">
        <v>207000</v>
      </c>
    </row>
    <row r="6" spans="1:15" ht="23.7" customHeight="1">
      <c r="A6" s="133">
        <v>10101</v>
      </c>
      <c r="B6" s="134" t="s">
        <v>205</v>
      </c>
      <c r="C6" s="192">
        <v>559536.27591170603</v>
      </c>
      <c r="D6" s="192">
        <v>309897.01435109868</v>
      </c>
      <c r="E6" s="192">
        <v>71527.169590038626</v>
      </c>
      <c r="F6" s="192">
        <v>60123.755979624431</v>
      </c>
      <c r="G6" s="192">
        <v>60000</v>
      </c>
      <c r="H6" s="192">
        <v>34433.001594566522</v>
      </c>
      <c r="I6" s="192">
        <v>12000</v>
      </c>
      <c r="J6" s="192">
        <v>153021.25</v>
      </c>
      <c r="K6" s="192">
        <v>129123.75597962443</v>
      </c>
      <c r="L6" s="192">
        <v>80000</v>
      </c>
      <c r="M6" s="193">
        <f t="shared" ref="M6:M11" si="0">SUM(C6:L6)</f>
        <v>1469662.2234066585</v>
      </c>
    </row>
    <row r="7" spans="1:15" ht="23.7" customHeight="1">
      <c r="A7" s="133">
        <v>10201</v>
      </c>
      <c r="B7" s="134" t="s">
        <v>206</v>
      </c>
      <c r="C7" s="192">
        <v>1597848.37</v>
      </c>
      <c r="D7" s="192">
        <v>116211.38038166201</v>
      </c>
      <c r="E7" s="192">
        <v>63127.169590038626</v>
      </c>
      <c r="F7" s="192">
        <v>0</v>
      </c>
      <c r="G7" s="192">
        <v>40000</v>
      </c>
      <c r="H7" s="192">
        <v>11477.667198188841</v>
      </c>
      <c r="I7" s="192">
        <v>4800</v>
      </c>
      <c r="J7" s="192">
        <v>26417.001594566522</v>
      </c>
      <c r="K7" s="192">
        <v>137732.00637826606</v>
      </c>
      <c r="L7" s="192">
        <v>24000</v>
      </c>
      <c r="M7" s="193">
        <f t="shared" si="0"/>
        <v>2021613.5951427221</v>
      </c>
      <c r="O7" s="143"/>
    </row>
    <row r="8" spans="1:15" ht="23.7" customHeight="1">
      <c r="A8" s="133">
        <v>10301</v>
      </c>
      <c r="B8" s="134" t="s">
        <v>66</v>
      </c>
      <c r="C8" s="192">
        <v>384000</v>
      </c>
      <c r="D8" s="192">
        <v>44000</v>
      </c>
      <c r="E8" s="192">
        <v>8800</v>
      </c>
      <c r="F8" s="192">
        <v>20000</v>
      </c>
      <c r="G8" s="192">
        <v>21000</v>
      </c>
      <c r="H8" s="192">
        <v>12000</v>
      </c>
      <c r="I8" s="192">
        <v>12000</v>
      </c>
      <c r="J8" s="192">
        <v>227000</v>
      </c>
      <c r="K8" s="192">
        <v>23000</v>
      </c>
      <c r="L8" s="192">
        <v>13280.5</v>
      </c>
      <c r="M8" s="193">
        <f t="shared" si="0"/>
        <v>765080.5</v>
      </c>
      <c r="O8" s="167"/>
    </row>
    <row r="9" spans="1:15" ht="23.7" customHeight="1">
      <c r="A9" s="133">
        <v>10401</v>
      </c>
      <c r="B9" s="135" t="s">
        <v>207</v>
      </c>
      <c r="C9" s="192">
        <v>111907.25518234119</v>
      </c>
      <c r="D9" s="192">
        <v>19368.563396943668</v>
      </c>
      <c r="E9" s="192">
        <v>5738.8335990944206</v>
      </c>
      <c r="F9" s="192">
        <v>12024.751195924888</v>
      </c>
      <c r="G9" s="192">
        <v>12000</v>
      </c>
      <c r="H9" s="192">
        <v>2400</v>
      </c>
      <c r="I9" s="192">
        <v>3600</v>
      </c>
      <c r="J9" s="192">
        <v>69906.37559796244</v>
      </c>
      <c r="K9" s="192">
        <v>43041.251993208149</v>
      </c>
      <c r="L9" s="192">
        <v>12000</v>
      </c>
      <c r="M9" s="193">
        <f t="shared" si="0"/>
        <v>291987.03096547473</v>
      </c>
      <c r="O9" s="145"/>
    </row>
    <row r="10" spans="1:15" ht="23.7" customHeight="1">
      <c r="A10" s="133">
        <v>10501</v>
      </c>
      <c r="B10" s="136" t="s">
        <v>80</v>
      </c>
      <c r="C10" s="192">
        <v>54000</v>
      </c>
      <c r="D10" s="192">
        <v>9000</v>
      </c>
      <c r="E10" s="192">
        <v>2400</v>
      </c>
      <c r="F10" s="192">
        <v>0</v>
      </c>
      <c r="G10" s="192">
        <v>3000</v>
      </c>
      <c r="H10" s="192">
        <v>1200</v>
      </c>
      <c r="I10" s="192">
        <v>1200</v>
      </c>
      <c r="J10" s="192">
        <v>9906.3755979624457</v>
      </c>
      <c r="K10" s="192">
        <v>4304.1251993208143</v>
      </c>
      <c r="L10" s="192">
        <v>9512.23</v>
      </c>
      <c r="M10" s="193">
        <f>SUM(C10:L10)</f>
        <v>94522.73079728325</v>
      </c>
    </row>
    <row r="11" spans="1:15" ht="23.7" customHeight="1">
      <c r="A11" s="133">
        <v>10601</v>
      </c>
      <c r="B11" s="134" t="s">
        <v>208</v>
      </c>
      <c r="C11" s="192">
        <v>37302.418394113731</v>
      </c>
      <c r="D11" s="200">
        <v>19368.563396943668</v>
      </c>
      <c r="E11" s="200">
        <v>5738.8335990944206</v>
      </c>
      <c r="F11" s="200">
        <v>6012.3755979624439</v>
      </c>
      <c r="G11" s="200">
        <v>0</v>
      </c>
      <c r="H11" s="200">
        <v>5400</v>
      </c>
      <c r="I11" s="200">
        <v>7200</v>
      </c>
      <c r="J11" s="200">
        <v>9906.3755979624457</v>
      </c>
      <c r="K11" s="200">
        <v>4304.1251993208143</v>
      </c>
      <c r="L11" s="200">
        <f>SUBTOTAL(9,L14:L15)</f>
        <v>24000</v>
      </c>
      <c r="M11" s="201">
        <f t="shared" si="0"/>
        <v>119232.69178539752</v>
      </c>
      <c r="O11" s="117">
        <v>60000</v>
      </c>
    </row>
    <row r="12" spans="1:15" ht="23.7" customHeight="1">
      <c r="A12" s="133">
        <v>10701</v>
      </c>
      <c r="B12" s="134" t="s">
        <v>290</v>
      </c>
      <c r="C12" s="171">
        <v>68400</v>
      </c>
      <c r="D12" s="173">
        <v>18000</v>
      </c>
      <c r="E12" s="202">
        <v>5400</v>
      </c>
      <c r="F12" s="202">
        <v>6000</v>
      </c>
      <c r="G12" s="202">
        <v>2880</v>
      </c>
      <c r="H12" s="202">
        <v>1080</v>
      </c>
      <c r="I12" s="202">
        <v>10500</v>
      </c>
      <c r="J12" s="202">
        <v>9600</v>
      </c>
      <c r="K12" s="202">
        <v>6000</v>
      </c>
      <c r="L12" s="202"/>
      <c r="M12" s="203">
        <f>SUM(C12:K12)</f>
        <v>127860</v>
      </c>
      <c r="O12" s="143">
        <f>O11+J9</f>
        <v>129906.37559796244</v>
      </c>
    </row>
    <row r="13" spans="1:15" ht="23.7" customHeight="1">
      <c r="A13" s="133">
        <v>10801</v>
      </c>
      <c r="B13" s="134" t="s">
        <v>292</v>
      </c>
      <c r="C13" s="204">
        <v>7800</v>
      </c>
      <c r="D13" s="173"/>
      <c r="E13" s="202">
        <v>2400</v>
      </c>
      <c r="F13" s="202">
        <v>4200</v>
      </c>
      <c r="G13" s="202">
        <v>1440</v>
      </c>
      <c r="H13" s="202"/>
      <c r="I13" s="202"/>
      <c r="J13" s="202"/>
      <c r="K13" s="202"/>
      <c r="L13" s="202"/>
      <c r="M13" s="203">
        <f>SUM(C13:G13)</f>
        <v>15840</v>
      </c>
    </row>
    <row r="14" spans="1:15" s="123" customFormat="1" ht="24.9">
      <c r="A14" s="137">
        <v>200</v>
      </c>
      <c r="B14" s="137" t="s">
        <v>259</v>
      </c>
      <c r="C14" s="194" t="s">
        <v>200</v>
      </c>
      <c r="D14" s="194" t="s">
        <v>10</v>
      </c>
      <c r="E14" s="194" t="s">
        <v>17</v>
      </c>
      <c r="F14" s="194" t="s">
        <v>21</v>
      </c>
      <c r="G14" s="194" t="s">
        <v>201</v>
      </c>
      <c r="H14" s="194" t="s">
        <v>202</v>
      </c>
      <c r="I14" s="194" t="s">
        <v>26</v>
      </c>
      <c r="J14" s="194" t="s">
        <v>28</v>
      </c>
      <c r="K14" s="194" t="s">
        <v>29</v>
      </c>
      <c r="L14" s="194" t="s">
        <v>31</v>
      </c>
      <c r="M14" s="194" t="s">
        <v>204</v>
      </c>
    </row>
    <row r="15" spans="1:15" ht="23.7" customHeight="1">
      <c r="A15" s="133">
        <v>20101</v>
      </c>
      <c r="B15" s="134" t="s">
        <v>64</v>
      </c>
      <c r="C15" s="195">
        <v>74604.836788227462</v>
      </c>
      <c r="D15" s="195">
        <v>9684.2816984718338</v>
      </c>
      <c r="E15" s="195">
        <v>5738.8335990944206</v>
      </c>
      <c r="F15" s="195">
        <v>0</v>
      </c>
      <c r="G15" s="192">
        <v>3000</v>
      </c>
      <c r="H15" s="195">
        <v>2400</v>
      </c>
      <c r="I15" s="195">
        <v>1800</v>
      </c>
      <c r="J15" s="195">
        <v>9906.3755979624457</v>
      </c>
      <c r="K15" s="195">
        <v>4304.1251993208143</v>
      </c>
      <c r="L15" s="195">
        <v>24000</v>
      </c>
      <c r="M15" s="196">
        <f t="shared" ref="M15:M19" si="1">SUM(C15:L15)</f>
        <v>135438.45288307697</v>
      </c>
    </row>
    <row r="16" spans="1:15" ht="23.7" customHeight="1">
      <c r="A16" s="133">
        <v>20201</v>
      </c>
      <c r="B16" s="134" t="s">
        <v>267</v>
      </c>
      <c r="C16" s="195">
        <v>74604.836788227462</v>
      </c>
      <c r="D16" s="195">
        <v>9684.2816984718338</v>
      </c>
      <c r="E16" s="195">
        <v>5738.8335990944206</v>
      </c>
      <c r="F16" s="195">
        <v>0</v>
      </c>
      <c r="G16" s="192">
        <v>3000</v>
      </c>
      <c r="H16" s="195">
        <v>2400</v>
      </c>
      <c r="I16" s="195">
        <v>2400</v>
      </c>
      <c r="J16" s="195">
        <v>9906.3755979624457</v>
      </c>
      <c r="K16" s="195">
        <v>4304.1251993208143</v>
      </c>
      <c r="L16" s="195"/>
      <c r="M16" s="196">
        <f t="shared" si="1"/>
        <v>112038.45288307697</v>
      </c>
    </row>
    <row r="17" spans="1:15" ht="23.7" customHeight="1">
      <c r="A17" s="133">
        <v>20301</v>
      </c>
      <c r="B17" s="134" t="s">
        <v>209</v>
      </c>
      <c r="C17" s="195">
        <v>111907.25518234119</v>
      </c>
      <c r="D17" s="192">
        <v>19368.563396943668</v>
      </c>
      <c r="E17" s="195">
        <v>5738.8335990944206</v>
      </c>
      <c r="F17" s="195">
        <v>12024.751195924888</v>
      </c>
      <c r="G17" s="192">
        <v>3000</v>
      </c>
      <c r="H17" s="195">
        <v>4800</v>
      </c>
      <c r="I17" s="195">
        <v>3600</v>
      </c>
      <c r="J17" s="195">
        <v>9906.3755979624457</v>
      </c>
      <c r="K17" s="195">
        <v>4304.1251993208143</v>
      </c>
      <c r="L17" s="195"/>
      <c r="M17" s="196">
        <f t="shared" si="1"/>
        <v>174649.9041715874</v>
      </c>
    </row>
    <row r="18" spans="1:15" s="124" customFormat="1" ht="23.7" customHeight="1">
      <c r="A18" s="139">
        <v>20401</v>
      </c>
      <c r="B18" s="134" t="s">
        <v>210</v>
      </c>
      <c r="C18" s="142">
        <v>228670.15725527765</v>
      </c>
      <c r="D18" s="195">
        <v>12000</v>
      </c>
      <c r="E18" s="195">
        <v>2700</v>
      </c>
      <c r="F18" s="195">
        <v>7500</v>
      </c>
      <c r="G18" s="195">
        <v>10600</v>
      </c>
      <c r="H18" s="195">
        <v>2700</v>
      </c>
      <c r="I18" s="195">
        <v>9600</v>
      </c>
      <c r="J18" s="195">
        <v>13000</v>
      </c>
      <c r="K18" s="195">
        <v>4500</v>
      </c>
      <c r="L18" s="142"/>
      <c r="M18" s="197">
        <f t="shared" si="1"/>
        <v>291270.15725527762</v>
      </c>
    </row>
    <row r="19" spans="1:15" ht="23.7" customHeight="1">
      <c r="A19" s="133">
        <v>20501</v>
      </c>
      <c r="B19" s="134" t="s">
        <v>211</v>
      </c>
      <c r="C19" s="195">
        <v>659141.11269993382</v>
      </c>
      <c r="D19" s="195">
        <v>228000</v>
      </c>
      <c r="E19" s="195">
        <v>86082.503986416297</v>
      </c>
      <c r="F19" s="195">
        <v>38078.378787095477</v>
      </c>
      <c r="G19" s="195">
        <v>150000</v>
      </c>
      <c r="H19" s="195">
        <v>72000</v>
      </c>
      <c r="I19" s="195">
        <v>8000</v>
      </c>
      <c r="J19" s="195">
        <v>66932.751195924895</v>
      </c>
      <c r="K19" s="195">
        <v>4304.1251993208143</v>
      </c>
      <c r="L19" s="195"/>
      <c r="M19" s="196">
        <f t="shared" si="1"/>
        <v>1312538.8718686909</v>
      </c>
    </row>
    <row r="20" spans="1:15" ht="23.7" customHeight="1">
      <c r="A20" s="133">
        <v>20601</v>
      </c>
      <c r="B20" s="134" t="s">
        <v>212</v>
      </c>
      <c r="C20" s="195">
        <v>3830287.82</v>
      </c>
      <c r="D20" s="195">
        <v>1056000</v>
      </c>
      <c r="E20" s="195">
        <v>143470.83997736051</v>
      </c>
      <c r="F20" s="195">
        <v>12000</v>
      </c>
      <c r="G20" s="195">
        <v>681381.51</v>
      </c>
      <c r="H20" s="195">
        <v>518165.12</v>
      </c>
      <c r="I20" s="195">
        <v>9600</v>
      </c>
      <c r="J20" s="195">
        <v>246647.22</v>
      </c>
      <c r="K20" s="195">
        <v>150000</v>
      </c>
      <c r="L20" s="195"/>
      <c r="M20" s="196">
        <f>SUM(C20:L20)</f>
        <v>6647552.5099773603</v>
      </c>
      <c r="O20" s="166"/>
    </row>
    <row r="21" spans="1:15" ht="23.7" customHeight="1">
      <c r="A21" s="133">
        <v>20701</v>
      </c>
      <c r="B21" s="134" t="s">
        <v>213</v>
      </c>
      <c r="C21" s="195">
        <v>144000</v>
      </c>
      <c r="D21" s="195">
        <v>217040</v>
      </c>
      <c r="E21" s="195">
        <v>25343.670387321901</v>
      </c>
      <c r="F21" s="195">
        <v>3600</v>
      </c>
      <c r="G21" s="195">
        <v>8000</v>
      </c>
      <c r="H21" s="195">
        <v>27000</v>
      </c>
      <c r="I21" s="195">
        <v>1200</v>
      </c>
      <c r="J21" s="195">
        <v>10000</v>
      </c>
      <c r="K21" s="195">
        <v>4304.1251993208143</v>
      </c>
      <c r="L21" s="195"/>
      <c r="M21" s="196">
        <f>SUM(C21:K21)</f>
        <v>440487.79558664275</v>
      </c>
    </row>
    <row r="22" spans="1:15" s="125" customFormat="1" ht="24.9">
      <c r="A22" s="137">
        <v>300</v>
      </c>
      <c r="B22" s="137" t="s">
        <v>214</v>
      </c>
      <c r="C22" s="194" t="s">
        <v>200</v>
      </c>
      <c r="D22" s="194" t="s">
        <v>10</v>
      </c>
      <c r="E22" s="194" t="s">
        <v>17</v>
      </c>
      <c r="F22" s="194" t="s">
        <v>21</v>
      </c>
      <c r="G22" s="194" t="s">
        <v>201</v>
      </c>
      <c r="H22" s="194" t="s">
        <v>202</v>
      </c>
      <c r="I22" s="194" t="s">
        <v>26</v>
      </c>
      <c r="J22" s="194" t="s">
        <v>28</v>
      </c>
      <c r="K22" s="194" t="s">
        <v>29</v>
      </c>
      <c r="L22" s="194" t="s">
        <v>31</v>
      </c>
      <c r="M22" s="194" t="s">
        <v>204</v>
      </c>
    </row>
    <row r="23" spans="1:15" ht="23.7" customHeight="1">
      <c r="A23" s="133">
        <v>30101</v>
      </c>
      <c r="B23" s="134" t="s">
        <v>268</v>
      </c>
      <c r="C23" s="195">
        <v>76000</v>
      </c>
      <c r="D23" s="195">
        <v>19368</v>
      </c>
      <c r="E23" s="195">
        <v>5738.8335990944206</v>
      </c>
      <c r="F23" s="192">
        <v>6000</v>
      </c>
      <c r="G23" s="195">
        <v>10000</v>
      </c>
      <c r="H23" s="195">
        <v>2400</v>
      </c>
      <c r="I23" s="195">
        <v>1200</v>
      </c>
      <c r="J23" s="195">
        <v>9906.3755979624457</v>
      </c>
      <c r="K23" s="195">
        <v>4304.1251993208143</v>
      </c>
      <c r="L23" s="195"/>
      <c r="M23" s="196">
        <f t="shared" ref="M23:M28" si="2">SUM(C23:L23)</f>
        <v>134917.33439637767</v>
      </c>
      <c r="O23" s="143"/>
    </row>
    <row r="24" spans="1:15" ht="23.7" customHeight="1">
      <c r="A24" s="133">
        <v>30201</v>
      </c>
      <c r="B24" s="134" t="s">
        <v>269</v>
      </c>
      <c r="C24" s="195">
        <v>78000</v>
      </c>
      <c r="D24" s="195">
        <v>22500</v>
      </c>
      <c r="E24" s="195">
        <v>5738.8335990944206</v>
      </c>
      <c r="F24" s="195">
        <v>6000</v>
      </c>
      <c r="G24" s="192">
        <v>3000</v>
      </c>
      <c r="H24" s="195">
        <v>2400</v>
      </c>
      <c r="I24" s="195">
        <v>2400</v>
      </c>
      <c r="J24" s="195">
        <v>8500</v>
      </c>
      <c r="K24" s="195">
        <v>4000</v>
      </c>
      <c r="L24" s="195"/>
      <c r="M24" s="196">
        <f t="shared" si="2"/>
        <v>132538.83359909442</v>
      </c>
    </row>
    <row r="25" spans="1:15" ht="23.7" customHeight="1">
      <c r="A25" s="133">
        <v>30301</v>
      </c>
      <c r="B25" s="134" t="s">
        <v>215</v>
      </c>
      <c r="C25" s="195">
        <v>80000</v>
      </c>
      <c r="D25" s="195">
        <v>24000</v>
      </c>
      <c r="E25" s="195">
        <v>5738.8335990944206</v>
      </c>
      <c r="F25" s="195">
        <v>6000</v>
      </c>
      <c r="G25" s="192">
        <v>3000</v>
      </c>
      <c r="H25" s="195">
        <v>1200</v>
      </c>
      <c r="I25" s="195">
        <v>2400</v>
      </c>
      <c r="J25" s="195">
        <v>9906.3755979624457</v>
      </c>
      <c r="K25" s="195">
        <v>17216.500797283257</v>
      </c>
      <c r="L25" s="195"/>
      <c r="M25" s="196">
        <f t="shared" si="2"/>
        <v>149461.70999434011</v>
      </c>
    </row>
    <row r="26" spans="1:15" ht="23.7" customHeight="1">
      <c r="A26" s="133">
        <v>30401</v>
      </c>
      <c r="B26" s="134" t="s">
        <v>216</v>
      </c>
      <c r="C26" s="195">
        <v>74604.836788227462</v>
      </c>
      <c r="D26" s="195">
        <v>19368.563396943668</v>
      </c>
      <c r="E26" s="195">
        <v>5738.8335990944206</v>
      </c>
      <c r="F26" s="195">
        <v>0</v>
      </c>
      <c r="G26" s="192">
        <v>3000</v>
      </c>
      <c r="H26" s="195">
        <v>2400</v>
      </c>
      <c r="I26" s="195">
        <v>2400</v>
      </c>
      <c r="J26" s="195">
        <v>9906.3755979624457</v>
      </c>
      <c r="K26" s="195">
        <v>4304.1251993208143</v>
      </c>
      <c r="L26" s="195"/>
      <c r="M26" s="196">
        <f t="shared" si="2"/>
        <v>121722.73458154881</v>
      </c>
    </row>
    <row r="27" spans="1:15" ht="23.7" customHeight="1">
      <c r="A27" s="133">
        <v>30501</v>
      </c>
      <c r="B27" s="134" t="s">
        <v>270</v>
      </c>
      <c r="C27" s="195">
        <v>74000</v>
      </c>
      <c r="D27" s="195">
        <v>12500</v>
      </c>
      <c r="E27" s="195">
        <v>5738.8335990944206</v>
      </c>
      <c r="F27" s="195">
        <v>0</v>
      </c>
      <c r="G27" s="192">
        <v>3000</v>
      </c>
      <c r="H27" s="195">
        <v>1200</v>
      </c>
      <c r="I27" s="195">
        <v>1200</v>
      </c>
      <c r="J27" s="195">
        <v>9906.3755979624457</v>
      </c>
      <c r="K27" s="195">
        <v>4304.1251993208143</v>
      </c>
      <c r="L27" s="195"/>
      <c r="M27" s="196">
        <f t="shared" si="2"/>
        <v>111849.33439637767</v>
      </c>
    </row>
    <row r="28" spans="1:15" ht="23.7" customHeight="1">
      <c r="A28" s="133">
        <v>30601</v>
      </c>
      <c r="B28" s="134" t="s">
        <v>271</v>
      </c>
      <c r="C28" s="195">
        <v>74604.836788227505</v>
      </c>
      <c r="D28" s="195">
        <v>19368.563396943668</v>
      </c>
      <c r="E28" s="195">
        <v>5738.8335990944206</v>
      </c>
      <c r="F28" s="192">
        <v>6012.3755979624402</v>
      </c>
      <c r="G28" s="192">
        <v>3000</v>
      </c>
      <c r="H28" s="195">
        <v>1200</v>
      </c>
      <c r="I28" s="195">
        <v>2400</v>
      </c>
      <c r="J28" s="195">
        <v>9906.3755979624457</v>
      </c>
      <c r="K28" s="195">
        <v>4304.1251993208143</v>
      </c>
      <c r="L28" s="195"/>
      <c r="M28" s="196">
        <f t="shared" si="2"/>
        <v>126535.11017951128</v>
      </c>
    </row>
    <row r="29" spans="1:15" ht="23.7" customHeight="1">
      <c r="A29" s="133">
        <v>30701</v>
      </c>
      <c r="B29" s="134" t="s">
        <v>264</v>
      </c>
      <c r="C29" s="195">
        <v>80604.08</v>
      </c>
      <c r="D29" s="195">
        <v>12000</v>
      </c>
      <c r="E29" s="195">
        <v>5738.8335990944206</v>
      </c>
      <c r="F29" s="192">
        <v>15000</v>
      </c>
      <c r="G29" s="192">
        <v>3000</v>
      </c>
      <c r="H29" s="195">
        <v>2400</v>
      </c>
      <c r="I29" s="195">
        <v>2400</v>
      </c>
      <c r="J29" s="195">
        <v>9906.3755979624457</v>
      </c>
      <c r="K29" s="195">
        <v>6900</v>
      </c>
      <c r="L29" s="195">
        <v>4500</v>
      </c>
      <c r="M29" s="196">
        <f>SUM(C29:L29)</f>
        <v>142449.28919705685</v>
      </c>
    </row>
    <row r="30" spans="1:15" ht="23.7" customHeight="1">
      <c r="A30" s="133">
        <v>30801</v>
      </c>
      <c r="B30" s="134" t="s">
        <v>265</v>
      </c>
      <c r="C30" s="195">
        <v>59000</v>
      </c>
      <c r="D30" s="195">
        <v>9000</v>
      </c>
      <c r="E30" s="195">
        <v>2000</v>
      </c>
      <c r="F30" s="192">
        <v>6000</v>
      </c>
      <c r="G30" s="192">
        <v>3000</v>
      </c>
      <c r="H30" s="195">
        <v>2400</v>
      </c>
      <c r="I30" s="195">
        <v>2000</v>
      </c>
      <c r="J30" s="195">
        <v>7500</v>
      </c>
      <c r="K30" s="195">
        <v>3000</v>
      </c>
      <c r="L30" s="195"/>
      <c r="M30" s="196">
        <f>SUM(C30:K30)</f>
        <v>93900</v>
      </c>
    </row>
    <row r="31" spans="1:15" ht="23.7" customHeight="1">
      <c r="A31" s="133">
        <v>30901</v>
      </c>
      <c r="B31" s="134" t="s">
        <v>294</v>
      </c>
      <c r="C31" s="195">
        <v>46000</v>
      </c>
      <c r="D31" s="195">
        <v>7000</v>
      </c>
      <c r="E31" s="195">
        <v>2200</v>
      </c>
      <c r="F31" s="192">
        <v>6000</v>
      </c>
      <c r="G31" s="192">
        <v>3000</v>
      </c>
      <c r="H31" s="195">
        <v>2400</v>
      </c>
      <c r="I31" s="195">
        <v>2400</v>
      </c>
      <c r="J31" s="195">
        <v>6000</v>
      </c>
      <c r="K31" s="195">
        <v>4500</v>
      </c>
      <c r="L31" s="195"/>
      <c r="M31" s="196">
        <f>SUM(C31:K31)</f>
        <v>79500</v>
      </c>
    </row>
    <row r="32" spans="1:15" ht="23.7" customHeight="1">
      <c r="A32" s="133">
        <v>30902</v>
      </c>
      <c r="B32" s="134" t="s">
        <v>266</v>
      </c>
      <c r="C32" s="195">
        <v>74604.836788227462</v>
      </c>
      <c r="D32" s="195">
        <v>9684.2816984718338</v>
      </c>
      <c r="E32" s="195">
        <v>5738.8335990944197</v>
      </c>
      <c r="F32" s="192">
        <v>6012.3755979624439</v>
      </c>
      <c r="G32" s="192">
        <v>3000</v>
      </c>
      <c r="H32" s="195">
        <v>2400</v>
      </c>
      <c r="I32" s="195">
        <v>2400</v>
      </c>
      <c r="J32" s="195">
        <v>9906.3755979624457</v>
      </c>
      <c r="K32" s="195">
        <v>4304.1251993208143</v>
      </c>
      <c r="L32" s="195"/>
      <c r="M32" s="196">
        <f>SUM(C32:K32)</f>
        <v>118050.82848103941</v>
      </c>
    </row>
    <row r="33" spans="1:15" ht="23.7" customHeight="1">
      <c r="A33" s="133">
        <v>30903</v>
      </c>
      <c r="B33" s="134" t="s">
        <v>293</v>
      </c>
      <c r="C33" s="195">
        <v>42000</v>
      </c>
      <c r="D33" s="195">
        <v>8000</v>
      </c>
      <c r="E33" s="195">
        <v>2000</v>
      </c>
      <c r="F33" s="206">
        <v>6000</v>
      </c>
      <c r="G33" s="205">
        <v>3000</v>
      </c>
      <c r="H33" s="195">
        <v>2400</v>
      </c>
      <c r="I33" s="195">
        <v>2400</v>
      </c>
      <c r="J33" s="195">
        <v>3500</v>
      </c>
      <c r="K33" s="195">
        <v>4400</v>
      </c>
      <c r="L33" s="195"/>
      <c r="M33" s="196">
        <f>SUM(C33:L33)</f>
        <v>73700</v>
      </c>
    </row>
    <row r="34" spans="1:15" s="125" customFormat="1" ht="24.9">
      <c r="A34" s="137">
        <v>400</v>
      </c>
      <c r="B34" s="137" t="s">
        <v>217</v>
      </c>
      <c r="C34" s="194" t="s">
        <v>200</v>
      </c>
      <c r="D34" s="194" t="s">
        <v>10</v>
      </c>
      <c r="E34" s="194" t="s">
        <v>17</v>
      </c>
      <c r="F34" s="194" t="s">
        <v>21</v>
      </c>
      <c r="G34" s="194" t="s">
        <v>201</v>
      </c>
      <c r="H34" s="194" t="s">
        <v>202</v>
      </c>
      <c r="I34" s="194" t="s">
        <v>26</v>
      </c>
      <c r="J34" s="194" t="s">
        <v>28</v>
      </c>
      <c r="K34" s="194" t="s">
        <v>29</v>
      </c>
      <c r="L34" s="194" t="s">
        <v>31</v>
      </c>
      <c r="M34" s="194" t="s">
        <v>204</v>
      </c>
      <c r="O34" s="125">
        <v>90000</v>
      </c>
    </row>
    <row r="35" spans="1:15" ht="23.7" customHeight="1">
      <c r="A35" s="133">
        <v>40101</v>
      </c>
      <c r="B35" s="134" t="s">
        <v>218</v>
      </c>
      <c r="C35" s="195">
        <v>95000</v>
      </c>
      <c r="D35" s="195">
        <v>19368.563396943668</v>
      </c>
      <c r="E35" s="195">
        <v>6000</v>
      </c>
      <c r="F35" s="195">
        <v>21000</v>
      </c>
      <c r="G35" s="195">
        <v>12000</v>
      </c>
      <c r="H35" s="195">
        <v>12000</v>
      </c>
      <c r="I35" s="195">
        <v>2400</v>
      </c>
      <c r="J35" s="195">
        <v>99000</v>
      </c>
      <c r="K35" s="195">
        <v>5000</v>
      </c>
      <c r="L35" s="195">
        <v>2000</v>
      </c>
      <c r="M35" s="196">
        <f t="shared" ref="M35:M39" si="3">SUM(C35:L35)</f>
        <v>273768.56339694367</v>
      </c>
      <c r="O35" s="117">
        <v>120000</v>
      </c>
    </row>
    <row r="36" spans="1:15" ht="23.7" customHeight="1">
      <c r="A36" s="133">
        <v>40201</v>
      </c>
      <c r="B36" s="134" t="s">
        <v>272</v>
      </c>
      <c r="C36" s="195">
        <v>79000</v>
      </c>
      <c r="D36" s="195">
        <v>19368.563396943668</v>
      </c>
      <c r="E36" s="195">
        <v>5738.8335990944206</v>
      </c>
      <c r="F36" s="195">
        <v>0</v>
      </c>
      <c r="G36" s="195">
        <v>10000</v>
      </c>
      <c r="H36" s="195">
        <v>3600</v>
      </c>
      <c r="I36" s="195">
        <v>2400</v>
      </c>
      <c r="J36" s="195">
        <v>9906.3755979624457</v>
      </c>
      <c r="K36" s="195">
        <v>8608.2503986416286</v>
      </c>
      <c r="L36" s="195">
        <v>99677.1</v>
      </c>
      <c r="M36" s="196">
        <f t="shared" si="3"/>
        <v>238299.12299264217</v>
      </c>
      <c r="O36" s="117">
        <f>O34+O35</f>
        <v>210000</v>
      </c>
    </row>
    <row r="37" spans="1:15" ht="23.7" customHeight="1">
      <c r="A37" s="133">
        <v>40301</v>
      </c>
      <c r="B37" s="134" t="s">
        <v>273</v>
      </c>
      <c r="C37" s="195">
        <v>65000</v>
      </c>
      <c r="D37" s="195">
        <v>19000</v>
      </c>
      <c r="E37" s="195">
        <v>5738.8335990944206</v>
      </c>
      <c r="F37" s="192">
        <v>6012.3755979624439</v>
      </c>
      <c r="G37" s="192">
        <v>3000</v>
      </c>
      <c r="H37" s="195">
        <v>1200</v>
      </c>
      <c r="I37" s="195">
        <v>1200</v>
      </c>
      <c r="J37" s="195">
        <v>9906.3755979624457</v>
      </c>
      <c r="K37" s="195">
        <v>4304.1251993208143</v>
      </c>
      <c r="L37" s="195">
        <v>48000</v>
      </c>
      <c r="M37" s="196">
        <f t="shared" si="3"/>
        <v>163361.70999434011</v>
      </c>
    </row>
    <row r="38" spans="1:15" ht="23.7" customHeight="1">
      <c r="A38" s="133">
        <v>40401</v>
      </c>
      <c r="B38" s="134" t="s">
        <v>274</v>
      </c>
      <c r="C38" s="195">
        <v>68000</v>
      </c>
      <c r="D38" s="195">
        <v>18000</v>
      </c>
      <c r="E38" s="195">
        <v>5738.8335990944206</v>
      </c>
      <c r="F38" s="192">
        <v>6012.3755979624439</v>
      </c>
      <c r="G38" s="192">
        <v>3000</v>
      </c>
      <c r="H38" s="195">
        <v>1200</v>
      </c>
      <c r="I38" s="195">
        <v>1200</v>
      </c>
      <c r="J38" s="195">
        <v>9906.3755979624457</v>
      </c>
      <c r="K38" s="195">
        <v>4304.1251993208143</v>
      </c>
      <c r="L38" s="195"/>
      <c r="M38" s="196">
        <f t="shared" si="3"/>
        <v>117361.70999434011</v>
      </c>
      <c r="O38" s="143">
        <f>J40-O36</f>
        <v>895526.60795585252</v>
      </c>
    </row>
    <row r="39" spans="1:15" ht="23.7" customHeight="1">
      <c r="A39" s="133">
        <v>40501</v>
      </c>
      <c r="B39" s="134" t="s">
        <v>219</v>
      </c>
      <c r="C39" s="195">
        <v>74604.836788227505</v>
      </c>
      <c r="D39" s="195">
        <v>19368.563396943668</v>
      </c>
      <c r="E39" s="195">
        <v>5738.8335990944206</v>
      </c>
      <c r="F39" s="195">
        <v>6012.3755979624439</v>
      </c>
      <c r="G39" s="192">
        <v>3000</v>
      </c>
      <c r="H39" s="195">
        <v>1200</v>
      </c>
      <c r="I39" s="195">
        <v>1200</v>
      </c>
      <c r="J39" s="195">
        <v>9906.3755979624457</v>
      </c>
      <c r="K39" s="195">
        <v>4304.1251993208143</v>
      </c>
      <c r="L39" s="195"/>
      <c r="M39" s="196">
        <f t="shared" si="3"/>
        <v>125335.11017951128</v>
      </c>
    </row>
    <row r="40" spans="1:15" ht="23.7" customHeight="1">
      <c r="A40" s="140"/>
      <c r="B40" s="140" t="s">
        <v>220</v>
      </c>
      <c r="C40" s="198">
        <f>SUM(C6:C39)</f>
        <v>9085033.7653550785</v>
      </c>
      <c r="D40" s="198">
        <f t="shared" ref="D40:L40" si="4">SUM(D5:D39)</f>
        <v>2345517.7470037257</v>
      </c>
      <c r="E40" s="198">
        <f t="shared" si="4"/>
        <v>521011.5247157811</v>
      </c>
      <c r="F40" s="198">
        <f t="shared" si="4"/>
        <v>283625.8907463444</v>
      </c>
      <c r="G40" s="198">
        <f t="shared" si="4"/>
        <v>1070301.51</v>
      </c>
      <c r="H40" s="198">
        <f t="shared" si="4"/>
        <v>739455.78879275534</v>
      </c>
      <c r="I40" s="198">
        <f t="shared" si="4"/>
        <v>119500</v>
      </c>
      <c r="J40" s="198">
        <f t="shared" si="4"/>
        <v>1105526.6079558525</v>
      </c>
      <c r="K40" s="198">
        <f t="shared" si="4"/>
        <v>611583.64353683614</v>
      </c>
      <c r="L40" s="198">
        <f t="shared" si="4"/>
        <v>340969.83</v>
      </c>
      <c r="M40" s="198">
        <f>SUM(C40:L40)</f>
        <v>16222526.308106372</v>
      </c>
    </row>
    <row r="41" spans="1:15">
      <c r="O41" s="143">
        <f>M40-O42</f>
        <v>44968.111830675974</v>
      </c>
    </row>
    <row r="42" spans="1:15">
      <c r="B42" s="165"/>
      <c r="C42" s="126"/>
      <c r="D42" s="126"/>
      <c r="E42" s="126"/>
      <c r="M42" s="127"/>
      <c r="O42" s="117">
        <v>16177558.196275696</v>
      </c>
    </row>
    <row r="43" spans="1:15">
      <c r="B43" s="165"/>
    </row>
    <row r="44" spans="1:15">
      <c r="B44" s="165"/>
    </row>
    <row r="45" spans="1:15">
      <c r="B45" s="165"/>
    </row>
  </sheetData>
  <mergeCells count="3">
    <mergeCell ref="A1:M1"/>
    <mergeCell ref="A2:M2"/>
    <mergeCell ref="A4:M4"/>
  </mergeCells>
  <printOptions horizontalCentered="1"/>
  <pageMargins left="0.2" right="0.2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Q1535"/>
  <sheetViews>
    <sheetView tabSelected="1" topLeftCell="A139" zoomScale="115" zoomScaleNormal="100" workbookViewId="0">
      <selection activeCell="O161" sqref="O161"/>
    </sheetView>
  </sheetViews>
  <sheetFormatPr defaultRowHeight="12.9"/>
  <cols>
    <col min="1" max="1" width="8.26953125" style="5" customWidth="1"/>
    <col min="2" max="2" width="41.26953125" style="13" customWidth="1"/>
    <col min="3" max="3" width="13.1796875" style="14" hidden="1" customWidth="1"/>
    <col min="4" max="5" width="12.81640625" style="14" customWidth="1"/>
    <col min="6" max="6" width="15.26953125" style="14" customWidth="1"/>
    <col min="10" max="10" width="11.7265625" bestFit="1" customWidth="1"/>
    <col min="12" max="12" width="9.7265625" bestFit="1" customWidth="1"/>
    <col min="13" max="13" width="13.453125" bestFit="1" customWidth="1"/>
    <col min="17" max="17" width="14.7265625" bestFit="1" customWidth="1"/>
  </cols>
  <sheetData>
    <row r="1" spans="1:13" ht="18" customHeight="1">
      <c r="A1" s="425" t="s">
        <v>280</v>
      </c>
      <c r="B1" s="426"/>
      <c r="C1" s="426"/>
      <c r="D1" s="426"/>
      <c r="E1" s="426"/>
      <c r="F1" s="113"/>
    </row>
    <row r="2" spans="1:13" ht="6" customHeight="1">
      <c r="A2" s="19"/>
      <c r="B2" s="20"/>
      <c r="C2" s="21"/>
      <c r="D2" s="21"/>
      <c r="E2" s="21"/>
      <c r="F2" s="162"/>
    </row>
    <row r="3" spans="1:13" s="6" customFormat="1" ht="19.5" customHeight="1">
      <c r="A3" s="194" t="s">
        <v>2</v>
      </c>
      <c r="B3" s="194" t="s">
        <v>3</v>
      </c>
      <c r="C3" s="427" t="s">
        <v>4</v>
      </c>
      <c r="D3" s="427"/>
      <c r="E3" s="428" t="s">
        <v>4</v>
      </c>
      <c r="F3" s="428"/>
    </row>
    <row r="4" spans="1:13" ht="15.65" customHeight="1">
      <c r="A4" s="74">
        <v>100</v>
      </c>
      <c r="B4" s="194" t="s">
        <v>35</v>
      </c>
      <c r="C4" s="168"/>
      <c r="D4" s="168"/>
      <c r="E4" s="168"/>
      <c r="F4" s="168"/>
      <c r="J4" s="23" t="s">
        <v>72</v>
      </c>
      <c r="K4" s="23" t="s">
        <v>73</v>
      </c>
      <c r="L4" s="23" t="s">
        <v>74</v>
      </c>
      <c r="M4" s="23" t="s">
        <v>79</v>
      </c>
    </row>
    <row r="5" spans="1:13" ht="43.5" customHeight="1">
      <c r="A5" s="225">
        <v>10101</v>
      </c>
      <c r="B5" s="255" t="s">
        <v>289</v>
      </c>
      <c r="C5" s="169" t="s">
        <v>0</v>
      </c>
      <c r="D5" s="169" t="s">
        <v>261</v>
      </c>
      <c r="E5" s="169" t="s">
        <v>358</v>
      </c>
      <c r="F5" s="169" t="s">
        <v>287</v>
      </c>
      <c r="J5" s="24" t="s">
        <v>71</v>
      </c>
      <c r="K5" s="32">
        <v>1</v>
      </c>
      <c r="L5" s="25"/>
      <c r="M5" s="39">
        <v>12</v>
      </c>
    </row>
    <row r="6" spans="1:13" ht="30.9">
      <c r="A6" s="226" t="s">
        <v>5</v>
      </c>
      <c r="B6" s="227" t="s">
        <v>65</v>
      </c>
      <c r="C6" s="25" t="e">
        <f>C7+C18</f>
        <v>#REF!</v>
      </c>
      <c r="D6" s="369">
        <f>D7+D18</f>
        <v>0</v>
      </c>
      <c r="E6" s="25">
        <f>E7+E18</f>
        <v>0</v>
      </c>
      <c r="F6" s="25">
        <f t="shared" ref="F6:F13" si="0">E6/12</f>
        <v>0</v>
      </c>
      <c r="J6" s="26" t="s">
        <v>75</v>
      </c>
      <c r="K6" s="33">
        <v>2</v>
      </c>
      <c r="L6" s="27"/>
      <c r="M6" s="40">
        <v>11</v>
      </c>
    </row>
    <row r="7" spans="1:13" ht="15.65" customHeight="1">
      <c r="A7" s="228">
        <v>21</v>
      </c>
      <c r="B7" s="229" t="s">
        <v>6</v>
      </c>
      <c r="C7" s="172">
        <f>C8</f>
        <v>753000</v>
      </c>
      <c r="D7" s="370">
        <f>D8</f>
        <v>0</v>
      </c>
      <c r="E7" s="172">
        <f>E8</f>
        <v>0</v>
      </c>
      <c r="F7" s="172">
        <f t="shared" si="0"/>
        <v>0</v>
      </c>
      <c r="J7" s="28" t="s">
        <v>76</v>
      </c>
      <c r="K7" s="34">
        <v>3</v>
      </c>
      <c r="L7" s="29"/>
      <c r="M7" s="41">
        <v>10</v>
      </c>
    </row>
    <row r="8" spans="1:13" ht="12.65" customHeight="1">
      <c r="A8" s="85">
        <v>211</v>
      </c>
      <c r="B8" s="86" t="s">
        <v>7</v>
      </c>
      <c r="C8" s="62">
        <f>C9+C12+C16</f>
        <v>753000</v>
      </c>
      <c r="D8" s="371">
        <f>D9+D12+D16</f>
        <v>0</v>
      </c>
      <c r="E8" s="62">
        <f>SUM(E9+E12+E16)</f>
        <v>0</v>
      </c>
      <c r="F8" s="62">
        <f>E8/12</f>
        <v>0</v>
      </c>
      <c r="J8" s="30" t="s">
        <v>77</v>
      </c>
      <c r="K8" s="35">
        <v>4</v>
      </c>
      <c r="L8" s="31"/>
      <c r="M8" s="42">
        <v>9</v>
      </c>
    </row>
    <row r="9" spans="1:13" ht="12.65" customHeight="1">
      <c r="A9" s="230">
        <v>2111</v>
      </c>
      <c r="B9" s="231" t="s">
        <v>8</v>
      </c>
      <c r="C9" s="214">
        <f>SUBTOTAL(9,C10:C10)</f>
        <v>501000</v>
      </c>
      <c r="D9" s="372">
        <f>SUM(D10:D11)</f>
        <v>0</v>
      </c>
      <c r="E9" s="214">
        <f>SUM(E10:E11)</f>
        <v>0</v>
      </c>
      <c r="F9" s="214">
        <f>E9/12</f>
        <v>0</v>
      </c>
      <c r="J9" s="36" t="s">
        <v>78</v>
      </c>
      <c r="K9" s="37">
        <v>6</v>
      </c>
      <c r="L9" s="38"/>
      <c r="M9" s="43">
        <v>9</v>
      </c>
    </row>
    <row r="10" spans="1:13" ht="12.65" customHeight="1">
      <c r="A10" s="232">
        <v>211101</v>
      </c>
      <c r="B10" s="233" t="s">
        <v>365</v>
      </c>
      <c r="C10" s="176">
        <v>501000</v>
      </c>
      <c r="D10" s="376"/>
      <c r="E10" s="176"/>
      <c r="F10" s="176">
        <f t="shared" si="0"/>
        <v>0</v>
      </c>
    </row>
    <row r="11" spans="1:13" ht="12.65" customHeight="1">
      <c r="A11" s="232">
        <v>211106</v>
      </c>
      <c r="B11" s="233" t="s">
        <v>345</v>
      </c>
      <c r="C11" s="176"/>
      <c r="D11" s="373"/>
      <c r="E11" s="176"/>
      <c r="F11" s="176">
        <f t="shared" si="0"/>
        <v>0</v>
      </c>
    </row>
    <row r="12" spans="1:13" ht="12.65" customHeight="1">
      <c r="A12" s="230">
        <v>2113</v>
      </c>
      <c r="B12" s="231" t="s">
        <v>10</v>
      </c>
      <c r="C12" s="214">
        <f>SUBTOTAL(9,C13:C15)</f>
        <v>252000</v>
      </c>
      <c r="D12" s="372">
        <f>SUM(D13:D15)</f>
        <v>0</v>
      </c>
      <c r="E12" s="214">
        <f>SUM(E13:E15)</f>
        <v>0</v>
      </c>
      <c r="F12" s="214">
        <f>E12/12</f>
        <v>0</v>
      </c>
      <c r="J12" s="22"/>
    </row>
    <row r="13" spans="1:13" ht="12.65" customHeight="1">
      <c r="A13" s="232">
        <v>211301</v>
      </c>
      <c r="B13" s="233" t="s">
        <v>11</v>
      </c>
      <c r="C13" s="176">
        <v>252000</v>
      </c>
      <c r="D13" s="376"/>
      <c r="E13" s="176"/>
      <c r="F13" s="176">
        <f t="shared" si="0"/>
        <v>0</v>
      </c>
    </row>
    <row r="14" spans="1:13" ht="12.65" customHeight="1">
      <c r="A14" s="232">
        <v>211304</v>
      </c>
      <c r="B14" s="233" t="s">
        <v>326</v>
      </c>
      <c r="C14" s="176">
        <v>0</v>
      </c>
      <c r="D14" s="376"/>
      <c r="E14" s="176"/>
      <c r="F14" s="176">
        <f t="shared" ref="F14:F15" si="1">E14/12</f>
        <v>0</v>
      </c>
    </row>
    <row r="15" spans="1:13" ht="12.65" customHeight="1">
      <c r="A15" s="232">
        <v>211308</v>
      </c>
      <c r="B15" s="233" t="s">
        <v>36</v>
      </c>
      <c r="C15" s="176">
        <v>0</v>
      </c>
      <c r="D15" s="376"/>
      <c r="E15" s="176"/>
      <c r="F15" s="176">
        <f t="shared" si="1"/>
        <v>0</v>
      </c>
    </row>
    <row r="16" spans="1:13" ht="12.65" customHeight="1">
      <c r="A16" s="230">
        <v>2115</v>
      </c>
      <c r="B16" s="231" t="s">
        <v>13</v>
      </c>
      <c r="C16" s="214">
        <f>SUBTOTAL(9,C17:C17)</f>
        <v>0</v>
      </c>
      <c r="D16" s="372">
        <f>D17</f>
        <v>0</v>
      </c>
      <c r="E16" s="214">
        <f>E17</f>
        <v>0</v>
      </c>
      <c r="F16" s="214">
        <f>E16/12</f>
        <v>0</v>
      </c>
      <c r="J16" s="114"/>
    </row>
    <row r="17" spans="1:17" ht="12.65" customHeight="1">
      <c r="A17" s="232">
        <v>211501</v>
      </c>
      <c r="B17" s="233" t="s">
        <v>14</v>
      </c>
      <c r="C17" s="177">
        <v>0</v>
      </c>
      <c r="D17" s="376"/>
      <c r="E17" s="177"/>
      <c r="F17" s="176">
        <f t="shared" ref="F17:F21" si="2">E17/12</f>
        <v>0</v>
      </c>
      <c r="J17" s="115"/>
    </row>
    <row r="18" spans="1:17" ht="12.65" customHeight="1">
      <c r="A18" s="228">
        <v>22</v>
      </c>
      <c r="B18" s="229" t="s">
        <v>15</v>
      </c>
      <c r="C18" s="172" t="e">
        <f>C19+#REF!+#REF!</f>
        <v>#REF!</v>
      </c>
      <c r="D18" s="370">
        <f>D19</f>
        <v>0</v>
      </c>
      <c r="E18" s="172">
        <f>E19</f>
        <v>0</v>
      </c>
      <c r="F18" s="172">
        <f t="shared" si="2"/>
        <v>0</v>
      </c>
      <c r="J18" s="114"/>
    </row>
    <row r="19" spans="1:17" ht="12.65" customHeight="1">
      <c r="A19" s="85">
        <v>221</v>
      </c>
      <c r="B19" s="86" t="s">
        <v>16</v>
      </c>
      <c r="C19" s="62">
        <f>C20+C24+C27+C30+C33</f>
        <v>168000</v>
      </c>
      <c r="D19" s="371">
        <f>D20+D24+D27+D30+D33+D38+D43+D47+D51</f>
        <v>0</v>
      </c>
      <c r="E19" s="62">
        <f>E20+E24+E27+E30+E33+E38+E43+E47+E51</f>
        <v>0</v>
      </c>
      <c r="F19" s="62">
        <f t="shared" si="2"/>
        <v>0</v>
      </c>
      <c r="J19" s="22"/>
      <c r="Q19" s="18"/>
    </row>
    <row r="20" spans="1:17" ht="12.65" customHeight="1">
      <c r="A20" s="74">
        <v>2211</v>
      </c>
      <c r="B20" s="194" t="s">
        <v>304</v>
      </c>
      <c r="C20" s="52">
        <f>SUBTOTAL(9,C21:C23)</f>
        <v>62400</v>
      </c>
      <c r="D20" s="374">
        <f>SUM(D21:D23)</f>
        <v>0</v>
      </c>
      <c r="E20" s="52">
        <f>SUM(E21:E23)</f>
        <v>0</v>
      </c>
      <c r="F20" s="52">
        <f>E20/12</f>
        <v>0</v>
      </c>
      <c r="J20" s="22"/>
    </row>
    <row r="21" spans="1:17" ht="12.65" customHeight="1">
      <c r="A21" s="217">
        <v>221101</v>
      </c>
      <c r="B21" s="218" t="s">
        <v>307</v>
      </c>
      <c r="C21" s="173">
        <v>26400</v>
      </c>
      <c r="D21" s="376"/>
      <c r="E21" s="173"/>
      <c r="F21" s="173">
        <f t="shared" si="2"/>
        <v>0</v>
      </c>
      <c r="J21" s="99"/>
    </row>
    <row r="22" spans="1:17" ht="12.65" customHeight="1">
      <c r="A22" s="217">
        <v>221102</v>
      </c>
      <c r="B22" s="218" t="s">
        <v>30</v>
      </c>
      <c r="C22" s="173">
        <v>32400</v>
      </c>
      <c r="D22" s="376"/>
      <c r="E22" s="173"/>
      <c r="F22" s="173">
        <f t="shared" ref="F22:F23" si="3">E22/12</f>
        <v>0</v>
      </c>
      <c r="J22" s="99"/>
    </row>
    <row r="23" spans="1:17" ht="12.65" customHeight="1">
      <c r="A23" s="217">
        <v>221103</v>
      </c>
      <c r="B23" s="218" t="s">
        <v>306</v>
      </c>
      <c r="C23" s="173">
        <v>3600</v>
      </c>
      <c r="D23" s="376"/>
      <c r="E23" s="173"/>
      <c r="F23" s="173">
        <f t="shared" si="3"/>
        <v>0</v>
      </c>
      <c r="J23" s="99"/>
    </row>
    <row r="24" spans="1:17" ht="12.65" customHeight="1">
      <c r="A24" s="74">
        <v>2221</v>
      </c>
      <c r="B24" s="194" t="s">
        <v>17</v>
      </c>
      <c r="C24" s="52">
        <f>SUBTOTAL(9,C25:C26)</f>
        <v>18000</v>
      </c>
      <c r="D24" s="374">
        <f>SUM(D25:D26)</f>
        <v>0</v>
      </c>
      <c r="E24" s="52">
        <f>SUM(E25:E26)</f>
        <v>0</v>
      </c>
      <c r="F24" s="52">
        <f t="shared" ref="F24:F34" si="4">E24/12</f>
        <v>0</v>
      </c>
      <c r="J24" s="99"/>
    </row>
    <row r="25" spans="1:17" ht="12.65" customHeight="1">
      <c r="A25" s="217">
        <v>222101</v>
      </c>
      <c r="B25" s="218" t="s">
        <v>18</v>
      </c>
      <c r="C25" s="173"/>
      <c r="D25" s="376"/>
      <c r="E25" s="173"/>
      <c r="F25" s="173">
        <f t="shared" si="4"/>
        <v>0</v>
      </c>
    </row>
    <row r="26" spans="1:17" ht="12.65" customHeight="1">
      <c r="A26" s="217">
        <v>222102</v>
      </c>
      <c r="B26" s="218" t="s">
        <v>19</v>
      </c>
      <c r="C26" s="173">
        <v>18000</v>
      </c>
      <c r="D26" s="376"/>
      <c r="E26" s="173"/>
      <c r="F26" s="173">
        <f t="shared" si="4"/>
        <v>0</v>
      </c>
      <c r="J26" s="99"/>
    </row>
    <row r="27" spans="1:17" ht="12.65" customHeight="1">
      <c r="A27" s="74" t="s">
        <v>308</v>
      </c>
      <c r="B27" s="194" t="s">
        <v>20</v>
      </c>
      <c r="C27" s="52">
        <f>SUBTOTAL(9,C28:C29)</f>
        <v>66000</v>
      </c>
      <c r="D27" s="374">
        <f>SUM(D28:D29)</f>
        <v>0</v>
      </c>
      <c r="E27" s="52">
        <f>SUM(E28:E29)</f>
        <v>0</v>
      </c>
      <c r="F27" s="52">
        <f t="shared" si="4"/>
        <v>0</v>
      </c>
    </row>
    <row r="28" spans="1:17" ht="12.65" customHeight="1">
      <c r="A28" s="217">
        <v>222201</v>
      </c>
      <c r="B28" s="218" t="s">
        <v>329</v>
      </c>
      <c r="C28" s="173">
        <v>60000</v>
      </c>
      <c r="D28" s="375"/>
      <c r="E28" s="173"/>
      <c r="F28" s="173">
        <f t="shared" si="4"/>
        <v>0</v>
      </c>
    </row>
    <row r="29" spans="1:17" ht="12.65" customHeight="1">
      <c r="A29" s="217">
        <v>222202</v>
      </c>
      <c r="B29" s="218" t="s">
        <v>328</v>
      </c>
      <c r="C29" s="173">
        <v>6000</v>
      </c>
      <c r="D29" s="376"/>
      <c r="E29" s="173"/>
      <c r="F29" s="173">
        <f t="shared" si="4"/>
        <v>0</v>
      </c>
    </row>
    <row r="30" spans="1:17" ht="12.65" customHeight="1">
      <c r="A30" s="74">
        <v>2223</v>
      </c>
      <c r="B30" s="194" t="s">
        <v>23</v>
      </c>
      <c r="C30" s="52">
        <f>SUBTOTAL(9,C31:C32)</f>
        <v>15600</v>
      </c>
      <c r="D30" s="374">
        <f>SUM(D31:D32)</f>
        <v>0</v>
      </c>
      <c r="E30" s="52">
        <f>SUM(E31:E32)</f>
        <v>0</v>
      </c>
      <c r="F30" s="52">
        <f t="shared" si="4"/>
        <v>0</v>
      </c>
    </row>
    <row r="31" spans="1:17" ht="12.65" customHeight="1">
      <c r="A31" s="217">
        <v>222301</v>
      </c>
      <c r="B31" s="218" t="s">
        <v>310</v>
      </c>
      <c r="C31" s="173">
        <v>3600</v>
      </c>
      <c r="D31" s="376"/>
      <c r="E31" s="173"/>
      <c r="F31" s="173">
        <f t="shared" si="4"/>
        <v>0</v>
      </c>
      <c r="J31" s="116"/>
    </row>
    <row r="32" spans="1:17" ht="12.65" customHeight="1">
      <c r="A32" s="217">
        <v>222302</v>
      </c>
      <c r="B32" s="218" t="s">
        <v>24</v>
      </c>
      <c r="C32" s="173">
        <v>12000</v>
      </c>
      <c r="D32" s="376"/>
      <c r="E32" s="173"/>
      <c r="F32" s="173">
        <f t="shared" si="4"/>
        <v>0</v>
      </c>
      <c r="J32" s="115"/>
    </row>
    <row r="33" spans="1:10" ht="12.65" customHeight="1">
      <c r="A33" s="74">
        <v>2224</v>
      </c>
      <c r="B33" s="194" t="s">
        <v>311</v>
      </c>
      <c r="C33" s="52">
        <f>SUBTOTAL(9,C34:C34)</f>
        <v>6000</v>
      </c>
      <c r="D33" s="374">
        <f>SUM(D34:D37)</f>
        <v>0</v>
      </c>
      <c r="E33" s="52">
        <f>SUM(E34:E37)</f>
        <v>0</v>
      </c>
      <c r="F33" s="52">
        <f t="shared" si="4"/>
        <v>0</v>
      </c>
    </row>
    <row r="34" spans="1:10" ht="12.65" customHeight="1">
      <c r="A34" s="217">
        <v>222401</v>
      </c>
      <c r="B34" s="218" t="s">
        <v>27</v>
      </c>
      <c r="C34" s="173">
        <v>6000</v>
      </c>
      <c r="D34" s="376"/>
      <c r="E34" s="173"/>
      <c r="F34" s="173">
        <f t="shared" si="4"/>
        <v>0</v>
      </c>
    </row>
    <row r="35" spans="1:10" ht="12.65" customHeight="1">
      <c r="A35" s="217">
        <v>222403</v>
      </c>
      <c r="B35" s="218" t="s">
        <v>312</v>
      </c>
      <c r="C35" s="173"/>
      <c r="D35" s="376"/>
      <c r="E35" s="173"/>
      <c r="F35" s="173">
        <f t="shared" ref="F35:F37" si="5">E35/12</f>
        <v>0</v>
      </c>
    </row>
    <row r="36" spans="1:10" ht="12.65" customHeight="1">
      <c r="A36" s="217">
        <v>222404</v>
      </c>
      <c r="B36" s="218" t="s">
        <v>313</v>
      </c>
      <c r="C36" s="173"/>
      <c r="D36" s="375"/>
      <c r="E36" s="173"/>
      <c r="F36" s="173">
        <f t="shared" si="5"/>
        <v>0</v>
      </c>
    </row>
    <row r="37" spans="1:10" ht="12.65" customHeight="1">
      <c r="A37" s="217">
        <v>222405</v>
      </c>
      <c r="B37" s="218" t="s">
        <v>314</v>
      </c>
      <c r="C37" s="173"/>
      <c r="D37" s="375"/>
      <c r="E37" s="173"/>
      <c r="F37" s="173">
        <f t="shared" si="5"/>
        <v>0</v>
      </c>
    </row>
    <row r="38" spans="1:10" ht="12" customHeight="1">
      <c r="A38" s="74">
        <v>2225</v>
      </c>
      <c r="B38" s="194" t="s">
        <v>25</v>
      </c>
      <c r="C38" s="52">
        <f>SUBTOTAL(9,C39:C39)</f>
        <v>96000</v>
      </c>
      <c r="D38" s="374">
        <f>SUM(D39:D42)</f>
        <v>0</v>
      </c>
      <c r="E38" s="52">
        <f>SUM(E39:E42)</f>
        <v>0</v>
      </c>
      <c r="F38" s="52">
        <f>E38/12</f>
        <v>0</v>
      </c>
    </row>
    <row r="39" spans="1:10" ht="12.65" customHeight="1">
      <c r="A39" s="217">
        <v>222501</v>
      </c>
      <c r="B39" s="218" t="s">
        <v>315</v>
      </c>
      <c r="C39" s="173">
        <v>96000</v>
      </c>
      <c r="D39" s="375"/>
      <c r="E39" s="173"/>
      <c r="F39" s="173">
        <f>E39/12</f>
        <v>0</v>
      </c>
    </row>
    <row r="40" spans="1:10" ht="12.65" customHeight="1">
      <c r="A40" s="217">
        <v>222502</v>
      </c>
      <c r="B40" s="218" t="s">
        <v>316</v>
      </c>
      <c r="C40" s="173"/>
      <c r="D40" s="375"/>
      <c r="E40" s="173"/>
      <c r="F40" s="173">
        <f t="shared" ref="F40:F42" si="6">E40/12</f>
        <v>0</v>
      </c>
    </row>
    <row r="41" spans="1:10" ht="12.65" customHeight="1">
      <c r="A41" s="217">
        <v>222503</v>
      </c>
      <c r="B41" s="218" t="s">
        <v>317</v>
      </c>
      <c r="C41" s="173"/>
      <c r="D41" s="376"/>
      <c r="E41" s="173"/>
      <c r="F41" s="173">
        <f t="shared" si="6"/>
        <v>0</v>
      </c>
    </row>
    <row r="42" spans="1:10" ht="12.65" customHeight="1">
      <c r="A42" s="217">
        <v>222504</v>
      </c>
      <c r="B42" s="218" t="s">
        <v>318</v>
      </c>
      <c r="C42" s="173"/>
      <c r="D42" s="376"/>
      <c r="E42" s="173"/>
      <c r="F42" s="173">
        <f t="shared" si="6"/>
        <v>0</v>
      </c>
    </row>
    <row r="43" spans="1:10" ht="12" customHeight="1">
      <c r="A43" s="74">
        <v>2231</v>
      </c>
      <c r="B43" s="194" t="s">
        <v>21</v>
      </c>
      <c r="C43" s="52">
        <f>SUBTOTAL(9,C44:C45)</f>
        <v>420000</v>
      </c>
      <c r="D43" s="374">
        <f>SUM(D44:D46)</f>
        <v>0</v>
      </c>
      <c r="E43" s="52">
        <f>SUM(E44:E46)</f>
        <v>0</v>
      </c>
      <c r="F43" s="52">
        <f>E43/12</f>
        <v>0</v>
      </c>
    </row>
    <row r="44" spans="1:10" ht="12" customHeight="1">
      <c r="A44" s="217">
        <v>223101</v>
      </c>
      <c r="B44" s="218" t="s">
        <v>319</v>
      </c>
      <c r="C44" s="173">
        <v>180000</v>
      </c>
      <c r="D44" s="376"/>
      <c r="E44" s="173"/>
      <c r="F44" s="173">
        <f>E44/12</f>
        <v>0</v>
      </c>
    </row>
    <row r="45" spans="1:10" ht="12" customHeight="1">
      <c r="A45" s="217">
        <v>223102</v>
      </c>
      <c r="B45" s="218" t="s">
        <v>22</v>
      </c>
      <c r="C45" s="173">
        <v>240000</v>
      </c>
      <c r="D45" s="375"/>
      <c r="E45" s="173"/>
      <c r="F45" s="173">
        <f t="shared" ref="F45:F46" si="7">E45/12</f>
        <v>0</v>
      </c>
      <c r="J45" s="63"/>
    </row>
    <row r="46" spans="1:10" ht="12" customHeight="1">
      <c r="A46" s="217">
        <v>223103</v>
      </c>
      <c r="B46" s="218" t="s">
        <v>320</v>
      </c>
      <c r="C46" s="173"/>
      <c r="D46" s="375"/>
      <c r="E46" s="173"/>
      <c r="F46" s="173">
        <f t="shared" si="7"/>
        <v>0</v>
      </c>
      <c r="J46" s="215"/>
    </row>
    <row r="47" spans="1:10" ht="12" customHeight="1">
      <c r="A47" s="74">
        <v>2244</v>
      </c>
      <c r="B47" s="194" t="s">
        <v>321</v>
      </c>
      <c r="C47" s="52">
        <f>SUBTOTAL(9,C48:C50)</f>
        <v>0</v>
      </c>
      <c r="D47" s="374">
        <f>SUM(D48:D50)</f>
        <v>0</v>
      </c>
      <c r="E47" s="52">
        <f>SUM(E48:E50)</f>
        <v>0</v>
      </c>
      <c r="F47" s="52">
        <f>E47/12</f>
        <v>0</v>
      </c>
      <c r="J47" s="115"/>
    </row>
    <row r="48" spans="1:10" ht="12" customHeight="1">
      <c r="A48" s="217">
        <v>224401</v>
      </c>
      <c r="B48" s="218" t="s">
        <v>322</v>
      </c>
      <c r="C48" s="173">
        <v>0</v>
      </c>
      <c r="D48" s="375"/>
      <c r="E48" s="173"/>
      <c r="F48" s="173">
        <f>E48/12</f>
        <v>0</v>
      </c>
      <c r="J48" s="115"/>
    </row>
    <row r="49" spans="1:6" ht="12" customHeight="1">
      <c r="A49" s="217">
        <v>224402</v>
      </c>
      <c r="B49" s="218" t="s">
        <v>323</v>
      </c>
      <c r="C49" s="173">
        <v>0</v>
      </c>
      <c r="D49" s="375"/>
      <c r="E49" s="173"/>
      <c r="F49" s="173">
        <f t="shared" ref="F49:F50" si="8">E49/12</f>
        <v>0</v>
      </c>
    </row>
    <row r="50" spans="1:6" ht="12" customHeight="1">
      <c r="A50" s="217">
        <v>224403</v>
      </c>
      <c r="B50" s="218" t="s">
        <v>324</v>
      </c>
      <c r="C50" s="173">
        <v>0</v>
      </c>
      <c r="D50" s="375"/>
      <c r="E50" s="173"/>
      <c r="F50" s="173">
        <f t="shared" si="8"/>
        <v>0</v>
      </c>
    </row>
    <row r="51" spans="1:6">
      <c r="A51" s="74">
        <v>2281</v>
      </c>
      <c r="B51" s="194" t="s">
        <v>349</v>
      </c>
      <c r="C51" s="52">
        <f>SUBTOTAL(9,C52:C52)</f>
        <v>0</v>
      </c>
      <c r="D51" s="374">
        <f>D52</f>
        <v>0</v>
      </c>
      <c r="E51" s="52">
        <f>E52</f>
        <v>0</v>
      </c>
      <c r="F51" s="52">
        <f>E51/12</f>
        <v>0</v>
      </c>
    </row>
    <row r="52" spans="1:6">
      <c r="A52" s="217">
        <v>228101</v>
      </c>
      <c r="B52" s="218" t="s">
        <v>325</v>
      </c>
      <c r="C52" s="173">
        <v>0</v>
      </c>
      <c r="D52" s="375"/>
      <c r="E52" s="173"/>
      <c r="F52" s="173">
        <f>E52/12</f>
        <v>0</v>
      </c>
    </row>
    <row r="53" spans="1:6" ht="38.25" customHeight="1">
      <c r="A53" s="225">
        <v>10201</v>
      </c>
      <c r="B53" s="255" t="s">
        <v>63</v>
      </c>
      <c r="C53" s="169" t="s">
        <v>0</v>
      </c>
      <c r="D53" s="178" t="s">
        <v>261</v>
      </c>
      <c r="E53" s="169" t="s">
        <v>358</v>
      </c>
      <c r="F53" s="169" t="s">
        <v>282</v>
      </c>
    </row>
    <row r="54" spans="1:6">
      <c r="A54" s="234" t="s">
        <v>5</v>
      </c>
      <c r="B54" s="235" t="s">
        <v>65</v>
      </c>
      <c r="C54" s="158" t="e">
        <f>C55+C67</f>
        <v>#REF!</v>
      </c>
      <c r="D54" s="158">
        <f>D55+D67</f>
        <v>0</v>
      </c>
      <c r="E54" s="158">
        <f>E55+E67</f>
        <v>0</v>
      </c>
      <c r="F54" s="158">
        <f>E54/12</f>
        <v>0</v>
      </c>
    </row>
    <row r="55" spans="1:6">
      <c r="A55" s="228">
        <v>21</v>
      </c>
      <c r="B55" s="229" t="s">
        <v>6</v>
      </c>
      <c r="C55" s="172">
        <f>C56</f>
        <v>589800</v>
      </c>
      <c r="D55" s="172">
        <f>D56</f>
        <v>0</v>
      </c>
      <c r="E55" s="172">
        <f>E56</f>
        <v>0</v>
      </c>
      <c r="F55" s="172">
        <f t="shared" ref="F55:F101" si="9">E55/12</f>
        <v>0</v>
      </c>
    </row>
    <row r="56" spans="1:6">
      <c r="A56" s="85">
        <v>211</v>
      </c>
      <c r="B56" s="86" t="s">
        <v>7</v>
      </c>
      <c r="C56" s="62">
        <f>C57+C61+C65</f>
        <v>589800</v>
      </c>
      <c r="D56" s="62">
        <f>D57+D61+D65</f>
        <v>0</v>
      </c>
      <c r="E56" s="62">
        <f>E57+E61+E65</f>
        <v>0</v>
      </c>
      <c r="F56" s="62">
        <f t="shared" si="9"/>
        <v>0</v>
      </c>
    </row>
    <row r="57" spans="1:6">
      <c r="A57" s="74">
        <v>2111</v>
      </c>
      <c r="B57" s="194" t="s">
        <v>8</v>
      </c>
      <c r="C57" s="52">
        <f>SUBTOTAL(9,C58:C60)</f>
        <v>589800</v>
      </c>
      <c r="D57" s="52">
        <f>SUM(D58:D60)</f>
        <v>0</v>
      </c>
      <c r="E57" s="52">
        <f>SUM(E58:E60)</f>
        <v>0</v>
      </c>
      <c r="F57" s="52">
        <f t="shared" si="9"/>
        <v>0</v>
      </c>
    </row>
    <row r="58" spans="1:6">
      <c r="A58" s="217">
        <v>211101</v>
      </c>
      <c r="B58" s="218" t="s">
        <v>9</v>
      </c>
      <c r="C58" s="173">
        <v>103800</v>
      </c>
      <c r="D58" s="173"/>
      <c r="E58" s="173"/>
      <c r="F58" s="173">
        <f>E58/12</f>
        <v>0</v>
      </c>
    </row>
    <row r="59" spans="1:6">
      <c r="A59" s="217">
        <v>211105</v>
      </c>
      <c r="B59" s="218" t="s">
        <v>37</v>
      </c>
      <c r="C59" s="173">
        <v>486000</v>
      </c>
      <c r="D59" s="173"/>
      <c r="E59" s="173"/>
      <c r="F59" s="173">
        <f>E59/12</f>
        <v>0</v>
      </c>
    </row>
    <row r="60" spans="1:6">
      <c r="A60" s="217">
        <v>211104</v>
      </c>
      <c r="B60" s="218" t="s">
        <v>38</v>
      </c>
      <c r="C60" s="173">
        <v>0</v>
      </c>
      <c r="D60" s="173"/>
      <c r="E60" s="173"/>
      <c r="F60" s="173">
        <f>E60/12</f>
        <v>0</v>
      </c>
    </row>
    <row r="61" spans="1:6">
      <c r="A61" s="74">
        <v>2113</v>
      </c>
      <c r="B61" s="194" t="s">
        <v>10</v>
      </c>
      <c r="C61" s="52">
        <f>SUBTOTAL(9,C62:C64)</f>
        <v>0</v>
      </c>
      <c r="D61" s="52">
        <f>SUM(D62:D64)</f>
        <v>0</v>
      </c>
      <c r="E61" s="52">
        <f>SUM(E62:E64)</f>
        <v>0</v>
      </c>
      <c r="F61" s="52">
        <f t="shared" si="9"/>
        <v>0</v>
      </c>
    </row>
    <row r="62" spans="1:6">
      <c r="A62" s="217">
        <v>211301</v>
      </c>
      <c r="B62" s="218" t="s">
        <v>11</v>
      </c>
      <c r="C62" s="173"/>
      <c r="D62" s="173"/>
      <c r="E62" s="173"/>
      <c r="F62" s="173">
        <f t="shared" si="9"/>
        <v>0</v>
      </c>
    </row>
    <row r="63" spans="1:6">
      <c r="A63" s="217">
        <v>211305</v>
      </c>
      <c r="B63" s="218" t="s">
        <v>39</v>
      </c>
      <c r="C63" s="173"/>
      <c r="D63" s="173"/>
      <c r="E63" s="173"/>
      <c r="F63" s="173">
        <f t="shared" si="9"/>
        <v>0</v>
      </c>
    </row>
    <row r="64" spans="1:6">
      <c r="A64" s="217">
        <v>211308</v>
      </c>
      <c r="B64" s="218" t="s">
        <v>12</v>
      </c>
      <c r="C64" s="173">
        <v>0</v>
      </c>
      <c r="D64" s="173"/>
      <c r="E64" s="173"/>
      <c r="F64" s="173">
        <f t="shared" si="9"/>
        <v>0</v>
      </c>
    </row>
    <row r="65" spans="1:6">
      <c r="A65" s="74">
        <v>2115</v>
      </c>
      <c r="B65" s="194" t="s">
        <v>13</v>
      </c>
      <c r="C65" s="52">
        <f>SUBTOTAL(9,C66)</f>
        <v>0</v>
      </c>
      <c r="D65" s="52">
        <f>D66</f>
        <v>0</v>
      </c>
      <c r="E65" s="52">
        <f>E66</f>
        <v>0</v>
      </c>
      <c r="F65" s="52">
        <f t="shared" si="9"/>
        <v>0</v>
      </c>
    </row>
    <row r="66" spans="1:6">
      <c r="A66" s="217">
        <v>211501</v>
      </c>
      <c r="B66" s="218" t="s">
        <v>14</v>
      </c>
      <c r="C66" s="174">
        <v>0</v>
      </c>
      <c r="D66" s="174"/>
      <c r="E66" s="174"/>
      <c r="F66" s="174">
        <f t="shared" si="9"/>
        <v>0</v>
      </c>
    </row>
    <row r="67" spans="1:6">
      <c r="A67" s="228">
        <v>22</v>
      </c>
      <c r="B67" s="229" t="s">
        <v>15</v>
      </c>
      <c r="C67" s="172" t="e">
        <f>C68+#REF!+#REF!</f>
        <v>#REF!</v>
      </c>
      <c r="D67" s="172">
        <f>D68</f>
        <v>0</v>
      </c>
      <c r="E67" s="172">
        <f>E68</f>
        <v>0</v>
      </c>
      <c r="F67" s="172">
        <f t="shared" si="9"/>
        <v>0</v>
      </c>
    </row>
    <row r="68" spans="1:6">
      <c r="A68" s="85">
        <v>221</v>
      </c>
      <c r="B68" s="86" t="s">
        <v>16</v>
      </c>
      <c r="C68" s="62">
        <f>C69+C73+C76+C79++C82</f>
        <v>28800</v>
      </c>
      <c r="D68" s="62">
        <f>D69+D73+D76+D79+D82+D87+D92+D96+D100</f>
        <v>0</v>
      </c>
      <c r="E68" s="62">
        <f>E69+E73+E76+E79+E82+E87+E92+E96+E100</f>
        <v>0</v>
      </c>
      <c r="F68" s="62">
        <f t="shared" si="9"/>
        <v>0</v>
      </c>
    </row>
    <row r="69" spans="1:6">
      <c r="A69" s="74">
        <v>2211</v>
      </c>
      <c r="B69" s="194" t="s">
        <v>327</v>
      </c>
      <c r="C69" s="52">
        <f>SUBTOTAL(9,C70:C72)</f>
        <v>4800</v>
      </c>
      <c r="D69" s="52">
        <f>SUM(D70:D72)</f>
        <v>0</v>
      </c>
      <c r="E69" s="52">
        <f>SUM(E70:E72)</f>
        <v>0</v>
      </c>
      <c r="F69" s="52">
        <f t="shared" si="9"/>
        <v>0</v>
      </c>
    </row>
    <row r="70" spans="1:6">
      <c r="A70" s="217">
        <v>221101</v>
      </c>
      <c r="B70" s="218" t="s">
        <v>307</v>
      </c>
      <c r="C70" s="173">
        <v>1200</v>
      </c>
      <c r="D70" s="173"/>
      <c r="E70" s="173"/>
      <c r="F70" s="173">
        <f t="shared" si="9"/>
        <v>0</v>
      </c>
    </row>
    <row r="71" spans="1:6">
      <c r="A71" s="217">
        <v>221102</v>
      </c>
      <c r="B71" s="218" t="s">
        <v>30</v>
      </c>
      <c r="C71" s="173">
        <v>1200</v>
      </c>
      <c r="D71" s="173"/>
      <c r="E71" s="173"/>
      <c r="F71" s="173">
        <f t="shared" si="9"/>
        <v>0</v>
      </c>
    </row>
    <row r="72" spans="1:6">
      <c r="A72" s="217">
        <v>221103</v>
      </c>
      <c r="B72" s="218" t="s">
        <v>306</v>
      </c>
      <c r="C72" s="173">
        <v>2400</v>
      </c>
      <c r="D72" s="173"/>
      <c r="E72" s="173"/>
      <c r="F72" s="173">
        <f t="shared" si="9"/>
        <v>0</v>
      </c>
    </row>
    <row r="73" spans="1:6">
      <c r="A73" s="74">
        <v>2221</v>
      </c>
      <c r="B73" s="194" t="s">
        <v>17</v>
      </c>
      <c r="C73" s="52">
        <f>SUBTOTAL(9,C74:C75)</f>
        <v>6000</v>
      </c>
      <c r="D73" s="52">
        <f>SUM(D74:D75)</f>
        <v>0</v>
      </c>
      <c r="E73" s="52">
        <f>SUM(E74:E75)</f>
        <v>0</v>
      </c>
      <c r="F73" s="52">
        <f t="shared" si="9"/>
        <v>0</v>
      </c>
    </row>
    <row r="74" spans="1:6">
      <c r="A74" s="217">
        <v>222101</v>
      </c>
      <c r="B74" s="218" t="s">
        <v>18</v>
      </c>
      <c r="C74" s="173">
        <v>0</v>
      </c>
      <c r="D74" s="173"/>
      <c r="E74" s="173"/>
      <c r="F74" s="174">
        <f t="shared" si="9"/>
        <v>0</v>
      </c>
    </row>
    <row r="75" spans="1:6">
      <c r="A75" s="217">
        <v>222102</v>
      </c>
      <c r="B75" s="218" t="s">
        <v>19</v>
      </c>
      <c r="C75" s="174">
        <v>6000</v>
      </c>
      <c r="D75" s="174"/>
      <c r="E75" s="174"/>
      <c r="F75" s="174">
        <f t="shared" si="9"/>
        <v>0</v>
      </c>
    </row>
    <row r="76" spans="1:6">
      <c r="A76" s="74">
        <v>2222</v>
      </c>
      <c r="B76" s="194" t="s">
        <v>20</v>
      </c>
      <c r="C76" s="52">
        <f>SUBTOTAL(9,C77:C78)</f>
        <v>13200</v>
      </c>
      <c r="D76" s="52">
        <f>SUM(D77:D78)</f>
        <v>0</v>
      </c>
      <c r="E76" s="52">
        <f>SUM(E77:E78)</f>
        <v>0</v>
      </c>
      <c r="F76" s="52">
        <f t="shared" si="9"/>
        <v>0</v>
      </c>
    </row>
    <row r="77" spans="1:6">
      <c r="A77" s="217">
        <v>222201</v>
      </c>
      <c r="B77" s="218" t="s">
        <v>309</v>
      </c>
      <c r="C77" s="173">
        <v>9600</v>
      </c>
      <c r="D77" s="173"/>
      <c r="E77" s="173"/>
      <c r="F77" s="173">
        <f t="shared" si="9"/>
        <v>0</v>
      </c>
    </row>
    <row r="78" spans="1:6">
      <c r="A78" s="217">
        <v>222202</v>
      </c>
      <c r="B78" s="218" t="s">
        <v>328</v>
      </c>
      <c r="C78" s="173">
        <v>3600</v>
      </c>
      <c r="D78" s="173"/>
      <c r="E78" s="173"/>
      <c r="F78" s="173">
        <f t="shared" si="9"/>
        <v>0</v>
      </c>
    </row>
    <row r="79" spans="1:6">
      <c r="A79" s="74">
        <v>2223</v>
      </c>
      <c r="B79" s="194" t="s">
        <v>23</v>
      </c>
      <c r="C79" s="52">
        <f>SUBTOTAL(9,C80:C81)</f>
        <v>0</v>
      </c>
      <c r="D79" s="52">
        <f>SUM(D80:D81)</f>
        <v>0</v>
      </c>
      <c r="E79" s="52">
        <f>SUM(E80:E81)</f>
        <v>0</v>
      </c>
      <c r="F79" s="52">
        <f t="shared" si="9"/>
        <v>0</v>
      </c>
    </row>
    <row r="80" spans="1:6">
      <c r="A80" s="217">
        <v>222301</v>
      </c>
      <c r="B80" s="218" t="s">
        <v>310</v>
      </c>
      <c r="C80" s="173">
        <v>0</v>
      </c>
      <c r="D80" s="173"/>
      <c r="E80" s="173"/>
      <c r="F80" s="173">
        <f t="shared" si="9"/>
        <v>0</v>
      </c>
    </row>
    <row r="81" spans="1:6">
      <c r="A81" s="217">
        <v>222302</v>
      </c>
      <c r="B81" s="218" t="s">
        <v>24</v>
      </c>
      <c r="C81" s="173">
        <v>0</v>
      </c>
      <c r="D81" s="173"/>
      <c r="E81" s="173"/>
      <c r="F81" s="173">
        <f t="shared" si="9"/>
        <v>0</v>
      </c>
    </row>
    <row r="82" spans="1:6">
      <c r="A82" s="74">
        <v>2224</v>
      </c>
      <c r="B82" s="194" t="s">
        <v>330</v>
      </c>
      <c r="C82" s="52">
        <f>SUBTOTAL(9,C83)</f>
        <v>4800</v>
      </c>
      <c r="D82" s="52">
        <f>SUM(D83:D86)</f>
        <v>0</v>
      </c>
      <c r="E82" s="52">
        <f>SUM(E83:E86)</f>
        <v>0</v>
      </c>
      <c r="F82" s="52">
        <f t="shared" si="9"/>
        <v>0</v>
      </c>
    </row>
    <row r="83" spans="1:6">
      <c r="A83" s="217">
        <v>222401</v>
      </c>
      <c r="B83" s="218" t="s">
        <v>27</v>
      </c>
      <c r="C83" s="173">
        <v>4800</v>
      </c>
      <c r="D83" s="173"/>
      <c r="E83" s="173"/>
      <c r="F83" s="173">
        <f t="shared" si="9"/>
        <v>0</v>
      </c>
    </row>
    <row r="84" spans="1:6">
      <c r="A84" s="217">
        <v>222403</v>
      </c>
      <c r="B84" s="218" t="s">
        <v>312</v>
      </c>
      <c r="C84" s="173"/>
      <c r="D84" s="173"/>
      <c r="E84" s="173"/>
      <c r="F84" s="173">
        <f t="shared" si="9"/>
        <v>0</v>
      </c>
    </row>
    <row r="85" spans="1:6">
      <c r="A85" s="217">
        <v>222404</v>
      </c>
      <c r="B85" s="218" t="s">
        <v>313</v>
      </c>
      <c r="C85" s="173"/>
      <c r="D85" s="173"/>
      <c r="E85" s="173"/>
      <c r="F85" s="173">
        <f t="shared" si="9"/>
        <v>0</v>
      </c>
    </row>
    <row r="86" spans="1:6">
      <c r="A86" s="217">
        <v>222405</v>
      </c>
      <c r="B86" s="218" t="s">
        <v>314</v>
      </c>
      <c r="C86" s="173"/>
      <c r="D86" s="173"/>
      <c r="E86" s="173"/>
      <c r="F86" s="173">
        <f t="shared" si="9"/>
        <v>0</v>
      </c>
    </row>
    <row r="87" spans="1:6">
      <c r="A87" s="74">
        <v>2225</v>
      </c>
      <c r="B87" s="194" t="s">
        <v>331</v>
      </c>
      <c r="C87" s="52">
        <f>SUBTOTAL(9,C88:C88)</f>
        <v>6000</v>
      </c>
      <c r="D87" s="52">
        <f>SUM(D88:D91)</f>
        <v>0</v>
      </c>
      <c r="E87" s="52">
        <f>SUM(E88:E91)</f>
        <v>0</v>
      </c>
      <c r="F87" s="52">
        <f t="shared" si="9"/>
        <v>0</v>
      </c>
    </row>
    <row r="88" spans="1:6">
      <c r="A88" s="217">
        <v>222501</v>
      </c>
      <c r="B88" s="218" t="s">
        <v>315</v>
      </c>
      <c r="C88" s="174">
        <v>6000</v>
      </c>
      <c r="D88" s="174"/>
      <c r="E88" s="174"/>
      <c r="F88" s="174">
        <f t="shared" si="9"/>
        <v>0</v>
      </c>
    </row>
    <row r="89" spans="1:6">
      <c r="A89" s="217">
        <v>222502</v>
      </c>
      <c r="B89" s="218" t="s">
        <v>316</v>
      </c>
      <c r="C89" s="174"/>
      <c r="D89" s="174"/>
      <c r="E89" s="174"/>
      <c r="F89" s="174">
        <f t="shared" si="9"/>
        <v>0</v>
      </c>
    </row>
    <row r="90" spans="1:6">
      <c r="A90" s="217">
        <v>222503</v>
      </c>
      <c r="B90" s="218" t="s">
        <v>317</v>
      </c>
      <c r="C90" s="174"/>
      <c r="D90" s="174"/>
      <c r="E90" s="174"/>
      <c r="F90" s="174">
        <f t="shared" si="9"/>
        <v>0</v>
      </c>
    </row>
    <row r="91" spans="1:6">
      <c r="A91" s="217">
        <v>222504</v>
      </c>
      <c r="B91" s="218" t="s">
        <v>318</v>
      </c>
      <c r="C91" s="174"/>
      <c r="D91" s="174"/>
      <c r="E91" s="174"/>
      <c r="F91" s="174">
        <f t="shared" si="9"/>
        <v>0</v>
      </c>
    </row>
    <row r="92" spans="1:6">
      <c r="A92" s="74">
        <v>2231</v>
      </c>
      <c r="B92" s="194" t="s">
        <v>21</v>
      </c>
      <c r="C92" s="52">
        <f>SUBTOTAL(9,C93:C95)</f>
        <v>72000</v>
      </c>
      <c r="D92" s="52">
        <f>SUM(D93:D95)</f>
        <v>0</v>
      </c>
      <c r="E92" s="52">
        <f>SUM(E93:E95)</f>
        <v>0</v>
      </c>
      <c r="F92" s="52">
        <f t="shared" si="9"/>
        <v>0</v>
      </c>
    </row>
    <row r="93" spans="1:6">
      <c r="A93" s="217">
        <v>223101</v>
      </c>
      <c r="B93" s="218" t="s">
        <v>319</v>
      </c>
      <c r="C93" s="173">
        <v>24000</v>
      </c>
      <c r="D93" s="173"/>
      <c r="E93" s="173"/>
      <c r="F93" s="173">
        <f t="shared" si="9"/>
        <v>0</v>
      </c>
    </row>
    <row r="94" spans="1:6">
      <c r="A94" s="217">
        <v>223102</v>
      </c>
      <c r="B94" s="218" t="s">
        <v>22</v>
      </c>
      <c r="C94" s="173"/>
      <c r="D94" s="173"/>
      <c r="E94" s="173"/>
      <c r="F94" s="173">
        <f t="shared" si="9"/>
        <v>0</v>
      </c>
    </row>
    <row r="95" spans="1:6">
      <c r="A95" s="217">
        <v>223103</v>
      </c>
      <c r="B95" s="218" t="s">
        <v>320</v>
      </c>
      <c r="C95" s="173">
        <v>48000</v>
      </c>
      <c r="D95" s="173"/>
      <c r="E95" s="173"/>
      <c r="F95" s="173">
        <f t="shared" si="9"/>
        <v>0</v>
      </c>
    </row>
    <row r="96" spans="1:6">
      <c r="A96" s="74">
        <v>2244</v>
      </c>
      <c r="B96" s="194" t="s">
        <v>321</v>
      </c>
      <c r="C96" s="52">
        <f>SUBTOTAL(9,C97:C99)</f>
        <v>0</v>
      </c>
      <c r="D96" s="52">
        <f>SUM(D97:D99)</f>
        <v>0</v>
      </c>
      <c r="E96" s="52">
        <f>SUM(E97:E99)</f>
        <v>0</v>
      </c>
      <c r="F96" s="52">
        <f t="shared" si="9"/>
        <v>0</v>
      </c>
    </row>
    <row r="97" spans="1:6">
      <c r="A97" s="217">
        <v>224401</v>
      </c>
      <c r="B97" s="218" t="s">
        <v>322</v>
      </c>
      <c r="C97" s="173">
        <v>0</v>
      </c>
      <c r="D97" s="173"/>
      <c r="E97" s="173"/>
      <c r="F97" s="173">
        <f t="shared" si="9"/>
        <v>0</v>
      </c>
    </row>
    <row r="98" spans="1:6">
      <c r="A98" s="217">
        <v>224402</v>
      </c>
      <c r="B98" s="218" t="s">
        <v>323</v>
      </c>
      <c r="C98" s="174">
        <v>0</v>
      </c>
      <c r="D98" s="173"/>
      <c r="E98" s="174"/>
      <c r="F98" s="173">
        <f t="shared" si="9"/>
        <v>0</v>
      </c>
    </row>
    <row r="99" spans="1:6">
      <c r="A99" s="217">
        <v>224403</v>
      </c>
      <c r="B99" s="218" t="s">
        <v>324</v>
      </c>
      <c r="C99" s="175">
        <v>0</v>
      </c>
      <c r="D99" s="175"/>
      <c r="E99" s="175"/>
      <c r="F99" s="173">
        <f t="shared" si="9"/>
        <v>0</v>
      </c>
    </row>
    <row r="100" spans="1:6">
      <c r="A100" s="74">
        <v>2281</v>
      </c>
      <c r="B100" s="194" t="s">
        <v>349</v>
      </c>
      <c r="C100" s="52"/>
      <c r="D100" s="52">
        <f>D101</f>
        <v>0</v>
      </c>
      <c r="E100" s="52">
        <f>E101</f>
        <v>0</v>
      </c>
      <c r="F100" s="52">
        <f t="shared" si="9"/>
        <v>0</v>
      </c>
    </row>
    <row r="101" spans="1:6">
      <c r="A101" s="217">
        <v>228101</v>
      </c>
      <c r="B101" s="218" t="s">
        <v>325</v>
      </c>
      <c r="C101" s="175"/>
      <c r="D101" s="175"/>
      <c r="E101" s="175"/>
      <c r="F101" s="175">
        <f t="shared" si="9"/>
        <v>0</v>
      </c>
    </row>
    <row r="102" spans="1:6" ht="36" customHeight="1">
      <c r="A102" s="236">
        <v>10301</v>
      </c>
      <c r="B102" s="358" t="s">
        <v>66</v>
      </c>
      <c r="C102" s="237" t="s">
        <v>0</v>
      </c>
      <c r="D102" s="178" t="s">
        <v>261</v>
      </c>
      <c r="E102" s="178" t="s">
        <v>358</v>
      </c>
      <c r="F102" s="178" t="s">
        <v>359</v>
      </c>
    </row>
    <row r="103" spans="1:6">
      <c r="A103" s="238" t="s">
        <v>5</v>
      </c>
      <c r="B103" s="238" t="s">
        <v>65</v>
      </c>
      <c r="C103" s="239" t="e">
        <f>C104+C115</f>
        <v>#REF!</v>
      </c>
      <c r="D103" s="158">
        <f>D104+D115+D157</f>
        <v>0</v>
      </c>
      <c r="E103" s="158">
        <f>E104+E115+E157</f>
        <v>0</v>
      </c>
      <c r="F103" s="158">
        <f>E103/12</f>
        <v>0</v>
      </c>
    </row>
    <row r="104" spans="1:6">
      <c r="A104" s="240">
        <v>21</v>
      </c>
      <c r="B104" s="241" t="s">
        <v>6</v>
      </c>
      <c r="C104" s="242">
        <f>C105</f>
        <v>600720</v>
      </c>
      <c r="D104" s="172">
        <f>D105</f>
        <v>0</v>
      </c>
      <c r="E104" s="172">
        <f>E105</f>
        <v>0</v>
      </c>
      <c r="F104" s="172">
        <f t="shared" ref="F104:F164" si="10">E104/12</f>
        <v>0</v>
      </c>
    </row>
    <row r="105" spans="1:6">
      <c r="A105" s="243">
        <v>211</v>
      </c>
      <c r="B105" s="244" t="s">
        <v>6</v>
      </c>
      <c r="C105" s="245">
        <f>C106+C109+C113</f>
        <v>600720</v>
      </c>
      <c r="D105" s="62">
        <f>D106+D109+D113</f>
        <v>0</v>
      </c>
      <c r="E105" s="62">
        <f>E106+E109+E113</f>
        <v>0</v>
      </c>
      <c r="F105" s="62">
        <f t="shared" si="10"/>
        <v>0</v>
      </c>
    </row>
    <row r="106" spans="1:6">
      <c r="A106" s="246">
        <v>2111</v>
      </c>
      <c r="B106" s="247" t="s">
        <v>8</v>
      </c>
      <c r="C106" s="248">
        <f>SUBTOTAL(9,C107:C108)</f>
        <v>412920</v>
      </c>
      <c r="D106" s="52">
        <f>SUM(D107:D108)</f>
        <v>0</v>
      </c>
      <c r="E106" s="52">
        <f>SUM(E107:E108)</f>
        <v>0</v>
      </c>
      <c r="F106" s="52">
        <f t="shared" si="10"/>
        <v>0</v>
      </c>
    </row>
    <row r="107" spans="1:6">
      <c r="A107" s="249">
        <v>211101</v>
      </c>
      <c r="B107" s="250" t="s">
        <v>9</v>
      </c>
      <c r="C107" s="199">
        <f>412920-C108</f>
        <v>358920</v>
      </c>
      <c r="D107" s="173"/>
      <c r="E107" s="173"/>
      <c r="F107" s="173">
        <f t="shared" si="10"/>
        <v>0</v>
      </c>
    </row>
    <row r="108" spans="1:6">
      <c r="A108" s="249">
        <v>211106</v>
      </c>
      <c r="B108" s="250" t="s">
        <v>33</v>
      </c>
      <c r="C108" s="199">
        <v>54000</v>
      </c>
      <c r="D108" s="173"/>
      <c r="E108" s="173"/>
      <c r="F108" s="173">
        <f t="shared" si="10"/>
        <v>0</v>
      </c>
    </row>
    <row r="109" spans="1:6">
      <c r="A109" s="246">
        <v>2113</v>
      </c>
      <c r="B109" s="247" t="s">
        <v>10</v>
      </c>
      <c r="C109" s="248">
        <f>SUBTOTAL(9,C110:C112)</f>
        <v>187800</v>
      </c>
      <c r="D109" s="52">
        <f>SUM(D110:D112)</f>
        <v>0</v>
      </c>
      <c r="E109" s="52">
        <f>SUM(E110:E112)</f>
        <v>0</v>
      </c>
      <c r="F109" s="52">
        <f t="shared" si="10"/>
        <v>0</v>
      </c>
    </row>
    <row r="110" spans="1:6">
      <c r="A110" s="249">
        <v>211301</v>
      </c>
      <c r="B110" s="250" t="s">
        <v>11</v>
      </c>
      <c r="C110" s="199">
        <v>144000</v>
      </c>
      <c r="D110" s="174"/>
      <c r="E110" s="173"/>
      <c r="F110" s="173">
        <f t="shared" si="10"/>
        <v>0</v>
      </c>
    </row>
    <row r="111" spans="1:6">
      <c r="A111" s="249">
        <v>211306</v>
      </c>
      <c r="B111" s="250" t="s">
        <v>34</v>
      </c>
      <c r="C111" s="199">
        <v>43800</v>
      </c>
      <c r="D111" s="173"/>
      <c r="E111" s="173"/>
      <c r="F111" s="173">
        <f>E111/12</f>
        <v>0</v>
      </c>
    </row>
    <row r="112" spans="1:6">
      <c r="A112" s="249">
        <v>211308</v>
      </c>
      <c r="B112" s="250" t="s">
        <v>40</v>
      </c>
      <c r="C112" s="199">
        <v>0</v>
      </c>
      <c r="D112" s="173"/>
      <c r="E112" s="173"/>
      <c r="F112" s="173">
        <f>E112/12</f>
        <v>0</v>
      </c>
    </row>
    <row r="113" spans="1:6">
      <c r="A113" s="246">
        <v>2115</v>
      </c>
      <c r="B113" s="247" t="s">
        <v>13</v>
      </c>
      <c r="C113" s="248">
        <f>SUBTOTAL(9,C114)</f>
        <v>0</v>
      </c>
      <c r="D113" s="52">
        <f>D114</f>
        <v>0</v>
      </c>
      <c r="E113" s="52">
        <f>E114</f>
        <v>0</v>
      </c>
      <c r="F113" s="52">
        <f t="shared" si="10"/>
        <v>0</v>
      </c>
    </row>
    <row r="114" spans="1:6">
      <c r="A114" s="249">
        <v>211501</v>
      </c>
      <c r="B114" s="250" t="s">
        <v>14</v>
      </c>
      <c r="C114" s="54">
        <v>0</v>
      </c>
      <c r="D114" s="174"/>
      <c r="E114" s="174"/>
      <c r="F114" s="174">
        <f t="shared" si="10"/>
        <v>0</v>
      </c>
    </row>
    <row r="115" spans="1:6">
      <c r="A115" s="240">
        <v>22</v>
      </c>
      <c r="B115" s="241" t="s">
        <v>15</v>
      </c>
      <c r="C115" s="242" t="e">
        <f>C116+#REF!+#REF!+#REF!</f>
        <v>#REF!</v>
      </c>
      <c r="D115" s="172">
        <f>D116</f>
        <v>0</v>
      </c>
      <c r="E115" s="172">
        <f>E116</f>
        <v>0</v>
      </c>
      <c r="F115" s="172">
        <f t="shared" si="10"/>
        <v>0</v>
      </c>
    </row>
    <row r="116" spans="1:6">
      <c r="A116" s="243">
        <v>221</v>
      </c>
      <c r="B116" s="244" t="s">
        <v>16</v>
      </c>
      <c r="C116" s="245">
        <f>C117+C121+C124+C127+C130</f>
        <v>20400</v>
      </c>
      <c r="D116" s="62">
        <f>D117+D121+D124+D127+D130+D135+D140+D144+D147+D151+D153+D155</f>
        <v>0</v>
      </c>
      <c r="E116" s="62">
        <f>E117+E121+E124+E127+E130+E135+E140+E144+E147+E151+E153+E155</f>
        <v>0</v>
      </c>
      <c r="F116" s="62">
        <f t="shared" si="10"/>
        <v>0</v>
      </c>
    </row>
    <row r="117" spans="1:6">
      <c r="A117" s="246">
        <v>2211</v>
      </c>
      <c r="B117" s="247" t="s">
        <v>304</v>
      </c>
      <c r="C117" s="248">
        <f>SUBTOTAL(9,C118:C120)</f>
        <v>6000</v>
      </c>
      <c r="D117" s="52">
        <f>SUM(D118:D120)</f>
        <v>0</v>
      </c>
      <c r="E117" s="52">
        <f>SUM(E118:E120)</f>
        <v>0</v>
      </c>
      <c r="F117" s="52">
        <f t="shared" si="10"/>
        <v>0</v>
      </c>
    </row>
    <row r="118" spans="1:6">
      <c r="A118" s="249">
        <v>221101</v>
      </c>
      <c r="B118" s="218" t="s">
        <v>307</v>
      </c>
      <c r="C118" s="199">
        <v>2400</v>
      </c>
      <c r="D118" s="173"/>
      <c r="E118" s="173"/>
      <c r="F118" s="173">
        <f t="shared" si="10"/>
        <v>0</v>
      </c>
    </row>
    <row r="119" spans="1:6">
      <c r="A119" s="249">
        <v>221102</v>
      </c>
      <c r="B119" s="218" t="s">
        <v>30</v>
      </c>
      <c r="C119" s="199">
        <v>1200</v>
      </c>
      <c r="D119" s="173"/>
      <c r="E119" s="173"/>
      <c r="F119" s="173">
        <f t="shared" si="10"/>
        <v>0</v>
      </c>
    </row>
    <row r="120" spans="1:6">
      <c r="A120" s="249">
        <v>221103</v>
      </c>
      <c r="B120" s="218" t="s">
        <v>306</v>
      </c>
      <c r="C120" s="199">
        <v>2400</v>
      </c>
      <c r="D120" s="173"/>
      <c r="E120" s="173"/>
      <c r="F120" s="173">
        <f t="shared" si="10"/>
        <v>0</v>
      </c>
    </row>
    <row r="121" spans="1:6">
      <c r="A121" s="246">
        <v>2221</v>
      </c>
      <c r="B121" s="247" t="s">
        <v>17</v>
      </c>
      <c r="C121" s="248">
        <f>SUBTOTAL(9,C122:C123)</f>
        <v>0</v>
      </c>
      <c r="D121" s="52">
        <f>SUM(D122:D123)</f>
        <v>0</v>
      </c>
      <c r="E121" s="52">
        <f>SUM(E122:E123)</f>
        <v>0</v>
      </c>
      <c r="F121" s="52">
        <f t="shared" si="10"/>
        <v>0</v>
      </c>
    </row>
    <row r="122" spans="1:6">
      <c r="A122" s="217">
        <v>222101</v>
      </c>
      <c r="B122" s="218" t="s">
        <v>18</v>
      </c>
      <c r="C122" s="54">
        <v>0</v>
      </c>
      <c r="D122" s="173"/>
      <c r="E122" s="173"/>
      <c r="F122" s="173">
        <f t="shared" si="10"/>
        <v>0</v>
      </c>
    </row>
    <row r="123" spans="1:6">
      <c r="A123" s="217">
        <v>222102</v>
      </c>
      <c r="B123" s="218" t="s">
        <v>19</v>
      </c>
      <c r="C123" s="54">
        <v>0</v>
      </c>
      <c r="D123" s="173"/>
      <c r="E123" s="173"/>
      <c r="F123" s="173">
        <f t="shared" si="10"/>
        <v>0</v>
      </c>
    </row>
    <row r="124" spans="1:6">
      <c r="A124" s="246">
        <v>2222</v>
      </c>
      <c r="B124" s="247" t="s">
        <v>20</v>
      </c>
      <c r="C124" s="248">
        <f>SUBTOTAL(9,C125:C126)</f>
        <v>7200</v>
      </c>
      <c r="D124" s="52">
        <f>SUM(D125:D126)</f>
        <v>0</v>
      </c>
      <c r="E124" s="52">
        <f>SUM(E125:E126)</f>
        <v>0</v>
      </c>
      <c r="F124" s="52">
        <f t="shared" si="10"/>
        <v>0</v>
      </c>
    </row>
    <row r="125" spans="1:6">
      <c r="A125" s="217">
        <v>222201</v>
      </c>
      <c r="B125" s="218" t="s">
        <v>309</v>
      </c>
      <c r="C125" s="199">
        <v>6000</v>
      </c>
      <c r="D125" s="173"/>
      <c r="E125" s="174"/>
      <c r="F125" s="174">
        <f t="shared" si="10"/>
        <v>0</v>
      </c>
    </row>
    <row r="126" spans="1:6">
      <c r="A126" s="217">
        <v>222202</v>
      </c>
      <c r="B126" s="218" t="s">
        <v>328</v>
      </c>
      <c r="C126" s="199">
        <v>1200</v>
      </c>
      <c r="D126" s="174"/>
      <c r="E126" s="174"/>
      <c r="F126" s="174">
        <f t="shared" si="10"/>
        <v>0</v>
      </c>
    </row>
    <row r="127" spans="1:6">
      <c r="A127" s="246">
        <v>2223</v>
      </c>
      <c r="B127" s="247" t="s">
        <v>23</v>
      </c>
      <c r="C127" s="248">
        <f>SUBTOTAL(9,C128:C129)</f>
        <v>1200</v>
      </c>
      <c r="D127" s="52">
        <f>SUM(D128:D129)</f>
        <v>0</v>
      </c>
      <c r="E127" s="52">
        <f>SUM(E128:E129)</f>
        <v>0</v>
      </c>
      <c r="F127" s="52">
        <f t="shared" si="10"/>
        <v>0</v>
      </c>
    </row>
    <row r="128" spans="1:6">
      <c r="A128" s="217">
        <v>222301</v>
      </c>
      <c r="B128" s="218" t="s">
        <v>310</v>
      </c>
      <c r="C128" s="199">
        <v>0</v>
      </c>
      <c r="D128" s="173"/>
      <c r="E128" s="173"/>
      <c r="F128" s="173">
        <f t="shared" si="10"/>
        <v>0</v>
      </c>
    </row>
    <row r="129" spans="1:6">
      <c r="A129" s="217">
        <v>222302</v>
      </c>
      <c r="B129" s="218" t="s">
        <v>24</v>
      </c>
      <c r="C129" s="199">
        <v>1200</v>
      </c>
      <c r="D129" s="173"/>
      <c r="E129" s="173"/>
      <c r="F129" s="173">
        <f t="shared" si="10"/>
        <v>0</v>
      </c>
    </row>
    <row r="130" spans="1:6">
      <c r="A130" s="246">
        <v>2224</v>
      </c>
      <c r="B130" s="194" t="s">
        <v>330</v>
      </c>
      <c r="C130" s="248">
        <f>SUBTOTAL(9,C131)</f>
        <v>6000</v>
      </c>
      <c r="D130" s="52">
        <f>SUM(D131:D134)</f>
        <v>0</v>
      </c>
      <c r="E130" s="52">
        <f>SUM(E131:E134)</f>
        <v>0</v>
      </c>
      <c r="F130" s="52">
        <f t="shared" si="10"/>
        <v>0</v>
      </c>
    </row>
    <row r="131" spans="1:6">
      <c r="A131" s="217">
        <v>222401</v>
      </c>
      <c r="B131" s="218" t="s">
        <v>27</v>
      </c>
      <c r="C131" s="199">
        <v>6000</v>
      </c>
      <c r="D131" s="173"/>
      <c r="E131" s="173"/>
      <c r="F131" s="173">
        <f t="shared" si="10"/>
        <v>0</v>
      </c>
    </row>
    <row r="132" spans="1:6">
      <c r="A132" s="217">
        <v>222403</v>
      </c>
      <c r="B132" s="218" t="s">
        <v>312</v>
      </c>
      <c r="C132" s="199"/>
      <c r="D132" s="173"/>
      <c r="E132" s="173"/>
      <c r="F132" s="173">
        <f t="shared" si="10"/>
        <v>0</v>
      </c>
    </row>
    <row r="133" spans="1:6">
      <c r="A133" s="217">
        <v>222404</v>
      </c>
      <c r="B133" s="218" t="s">
        <v>313</v>
      </c>
      <c r="C133" s="199"/>
      <c r="D133" s="173"/>
      <c r="E133" s="174"/>
      <c r="F133" s="173">
        <f t="shared" si="10"/>
        <v>0</v>
      </c>
    </row>
    <row r="134" spans="1:6">
      <c r="A134" s="217">
        <v>222405</v>
      </c>
      <c r="B134" s="218" t="s">
        <v>314</v>
      </c>
      <c r="C134" s="199"/>
      <c r="D134" s="173"/>
      <c r="E134" s="173"/>
      <c r="F134" s="173">
        <f t="shared" si="10"/>
        <v>0</v>
      </c>
    </row>
    <row r="135" spans="1:6">
      <c r="A135" s="74">
        <v>2225</v>
      </c>
      <c r="B135" s="194" t="s">
        <v>331</v>
      </c>
      <c r="C135" s="248">
        <f>SUBTOTAL(9,C136:C139)</f>
        <v>0</v>
      </c>
      <c r="D135" s="52">
        <f>SUM(D136:D139)</f>
        <v>0</v>
      </c>
      <c r="E135" s="52">
        <f>SUM(E136:E139)</f>
        <v>0</v>
      </c>
      <c r="F135" s="52">
        <f t="shared" si="10"/>
        <v>0</v>
      </c>
    </row>
    <row r="136" spans="1:6">
      <c r="A136" s="217">
        <v>222501</v>
      </c>
      <c r="B136" s="218" t="s">
        <v>315</v>
      </c>
      <c r="C136" s="199">
        <v>0</v>
      </c>
      <c r="D136" s="173"/>
      <c r="E136" s="173"/>
      <c r="F136" s="173">
        <f t="shared" si="10"/>
        <v>0</v>
      </c>
    </row>
    <row r="137" spans="1:6">
      <c r="A137" s="217">
        <v>222502</v>
      </c>
      <c r="B137" s="218" t="s">
        <v>316</v>
      </c>
      <c r="C137" s="199"/>
      <c r="D137" s="173"/>
      <c r="E137" s="173"/>
      <c r="F137" s="173">
        <f t="shared" si="10"/>
        <v>0</v>
      </c>
    </row>
    <row r="138" spans="1:6">
      <c r="A138" s="217">
        <v>222503</v>
      </c>
      <c r="B138" s="218" t="s">
        <v>317</v>
      </c>
      <c r="C138" s="199"/>
      <c r="D138" s="173"/>
      <c r="E138" s="173"/>
      <c r="F138" s="173">
        <f t="shared" si="10"/>
        <v>0</v>
      </c>
    </row>
    <row r="139" spans="1:6">
      <c r="A139" s="217">
        <v>222504</v>
      </c>
      <c r="B139" s="218" t="s">
        <v>318</v>
      </c>
      <c r="C139" s="199">
        <v>0</v>
      </c>
      <c r="D139" s="173"/>
      <c r="E139" s="173"/>
      <c r="F139" s="173">
        <f t="shared" si="10"/>
        <v>0</v>
      </c>
    </row>
    <row r="140" spans="1:6">
      <c r="A140" s="246">
        <v>2231</v>
      </c>
      <c r="B140" s="247" t="s">
        <v>21</v>
      </c>
      <c r="C140" s="248">
        <f>SUBTOTAL(9,C141:C141)</f>
        <v>22800</v>
      </c>
      <c r="D140" s="52">
        <f>SUM(D141:D143)</f>
        <v>0</v>
      </c>
      <c r="E140" s="52">
        <f>SUM(E141:E143)</f>
        <v>0</v>
      </c>
      <c r="F140" s="52">
        <f t="shared" si="10"/>
        <v>0</v>
      </c>
    </row>
    <row r="141" spans="1:6">
      <c r="A141" s="217">
        <v>223101</v>
      </c>
      <c r="B141" s="218" t="s">
        <v>319</v>
      </c>
      <c r="C141" s="199">
        <v>22800</v>
      </c>
      <c r="D141" s="173"/>
      <c r="E141" s="173"/>
      <c r="F141" s="173">
        <f t="shared" si="10"/>
        <v>0</v>
      </c>
    </row>
    <row r="142" spans="1:6">
      <c r="A142" s="217">
        <v>223102</v>
      </c>
      <c r="B142" s="218" t="s">
        <v>22</v>
      </c>
      <c r="C142" s="199"/>
      <c r="D142" s="173"/>
      <c r="E142" s="173"/>
      <c r="F142" s="173">
        <f t="shared" si="10"/>
        <v>0</v>
      </c>
    </row>
    <row r="143" spans="1:6">
      <c r="A143" s="217">
        <v>223103</v>
      </c>
      <c r="B143" s="218" t="s">
        <v>320</v>
      </c>
      <c r="C143" s="199"/>
      <c r="D143" s="174"/>
      <c r="E143" s="173"/>
      <c r="F143" s="173">
        <f t="shared" si="10"/>
        <v>0</v>
      </c>
    </row>
    <row r="144" spans="1:6">
      <c r="A144" s="246">
        <v>2243</v>
      </c>
      <c r="B144" s="247" t="s">
        <v>332</v>
      </c>
      <c r="C144" s="248">
        <f>SUBTOTAL(9,C145:C146)</f>
        <v>6000</v>
      </c>
      <c r="D144" s="52">
        <f>SUM(D145:D146)</f>
        <v>0</v>
      </c>
      <c r="E144" s="52">
        <f>SUM(E145:E146)</f>
        <v>0</v>
      </c>
      <c r="F144" s="52">
        <f t="shared" si="10"/>
        <v>0</v>
      </c>
    </row>
    <row r="145" spans="1:6">
      <c r="A145" s="249">
        <v>224301</v>
      </c>
      <c r="B145" s="250" t="s">
        <v>333</v>
      </c>
      <c r="C145" s="199">
        <v>4000</v>
      </c>
      <c r="D145" s="173"/>
      <c r="E145" s="173"/>
      <c r="F145" s="174">
        <f t="shared" si="10"/>
        <v>0</v>
      </c>
    </row>
    <row r="146" spans="1:6">
      <c r="A146" s="249">
        <v>224303</v>
      </c>
      <c r="B146" s="250" t="s">
        <v>334</v>
      </c>
      <c r="C146" s="199">
        <v>2000</v>
      </c>
      <c r="D146" s="173"/>
      <c r="E146" s="174"/>
      <c r="F146" s="174">
        <f t="shared" si="10"/>
        <v>0</v>
      </c>
    </row>
    <row r="147" spans="1:6">
      <c r="A147" s="246">
        <v>2244</v>
      </c>
      <c r="B147" s="247" t="s">
        <v>321</v>
      </c>
      <c r="C147" s="248">
        <f>SUBTOTAL(9,C148:C150)</f>
        <v>0</v>
      </c>
      <c r="D147" s="52">
        <f>SUM(D148:D150)</f>
        <v>0</v>
      </c>
      <c r="E147" s="52">
        <f>SUM(E148:E150)</f>
        <v>0</v>
      </c>
      <c r="F147" s="52">
        <f t="shared" si="10"/>
        <v>0</v>
      </c>
    </row>
    <row r="148" spans="1:6">
      <c r="A148" s="217">
        <v>224401</v>
      </c>
      <c r="B148" s="218" t="s">
        <v>322</v>
      </c>
      <c r="C148" s="199">
        <v>0</v>
      </c>
      <c r="D148" s="251"/>
      <c r="E148" s="173"/>
      <c r="F148" s="251">
        <f t="shared" si="10"/>
        <v>0</v>
      </c>
    </row>
    <row r="149" spans="1:6">
      <c r="A149" s="217">
        <v>224402</v>
      </c>
      <c r="B149" s="218" t="s">
        <v>323</v>
      </c>
      <c r="C149" s="54">
        <v>0</v>
      </c>
      <c r="D149" s="251"/>
      <c r="E149" s="173"/>
      <c r="F149" s="251">
        <f t="shared" si="10"/>
        <v>0</v>
      </c>
    </row>
    <row r="150" spans="1:6">
      <c r="A150" s="217">
        <v>224403</v>
      </c>
      <c r="B150" s="218" t="s">
        <v>324</v>
      </c>
      <c r="C150" s="54">
        <v>0</v>
      </c>
      <c r="D150" s="251"/>
      <c r="E150" s="251"/>
      <c r="F150" s="251">
        <f t="shared" si="10"/>
        <v>0</v>
      </c>
    </row>
    <row r="151" spans="1:6">
      <c r="A151" s="246">
        <v>2261</v>
      </c>
      <c r="B151" s="247" t="s">
        <v>336</v>
      </c>
      <c r="C151" s="248"/>
      <c r="D151" s="52">
        <f>D152</f>
        <v>0</v>
      </c>
      <c r="E151" s="52">
        <f>E152</f>
        <v>0</v>
      </c>
      <c r="F151" s="52">
        <f t="shared" si="10"/>
        <v>0</v>
      </c>
    </row>
    <row r="152" spans="1:6">
      <c r="A152" s="217">
        <v>226102</v>
      </c>
      <c r="B152" s="218" t="s">
        <v>341</v>
      </c>
      <c r="C152" s="54"/>
      <c r="D152" s="173"/>
      <c r="E152" s="173"/>
      <c r="F152" s="173">
        <f t="shared" si="10"/>
        <v>0</v>
      </c>
    </row>
    <row r="153" spans="1:6">
      <c r="A153" s="246">
        <v>2281</v>
      </c>
      <c r="B153" s="247" t="s">
        <v>349</v>
      </c>
      <c r="C153" s="248"/>
      <c r="D153" s="52">
        <f>D154</f>
        <v>0</v>
      </c>
      <c r="E153" s="52">
        <f>E154</f>
        <v>0</v>
      </c>
      <c r="F153" s="52">
        <f t="shared" si="10"/>
        <v>0</v>
      </c>
    </row>
    <row r="154" spans="1:6">
      <c r="A154" s="217">
        <v>228101</v>
      </c>
      <c r="B154" s="218" t="s">
        <v>325</v>
      </c>
      <c r="C154" s="54"/>
      <c r="D154" s="173"/>
      <c r="E154" s="173"/>
      <c r="F154" s="173">
        <f t="shared" si="10"/>
        <v>0</v>
      </c>
    </row>
    <row r="155" spans="1:6">
      <c r="A155" s="246">
        <v>2291</v>
      </c>
      <c r="B155" s="247" t="s">
        <v>335</v>
      </c>
      <c r="C155" s="248"/>
      <c r="D155" s="248">
        <f>D156</f>
        <v>0</v>
      </c>
      <c r="E155" s="248">
        <f>E156</f>
        <v>0</v>
      </c>
      <c r="F155" s="248">
        <f t="shared" si="10"/>
        <v>0</v>
      </c>
    </row>
    <row r="156" spans="1:6">
      <c r="A156" s="217">
        <v>229101</v>
      </c>
      <c r="B156" s="218" t="s">
        <v>335</v>
      </c>
      <c r="C156" s="54"/>
      <c r="D156" s="252"/>
      <c r="E156" s="173"/>
      <c r="F156" s="173">
        <f t="shared" si="10"/>
        <v>0</v>
      </c>
    </row>
    <row r="157" spans="1:6" ht="15" customHeight="1">
      <c r="A157" s="253">
        <v>31</v>
      </c>
      <c r="B157" s="229" t="s">
        <v>356</v>
      </c>
      <c r="C157" s="242" t="e">
        <f>C158+#REF!+#REF!+#REF!</f>
        <v>#REF!</v>
      </c>
      <c r="D157" s="360">
        <f>D158</f>
        <v>0</v>
      </c>
      <c r="E157" s="360">
        <f>E158</f>
        <v>0</v>
      </c>
      <c r="F157" s="360">
        <f t="shared" si="10"/>
        <v>0</v>
      </c>
    </row>
    <row r="158" spans="1:6">
      <c r="A158" s="254">
        <v>311</v>
      </c>
      <c r="B158" s="244" t="s">
        <v>357</v>
      </c>
      <c r="C158" s="245" t="e">
        <f>C161+C166+C169+C172+C175</f>
        <v>#REF!</v>
      </c>
      <c r="D158" s="62">
        <f>D161+D159</f>
        <v>0</v>
      </c>
      <c r="E158" s="62">
        <f>E161+E159</f>
        <v>0</v>
      </c>
      <c r="F158" s="62">
        <f>E158/12</f>
        <v>0</v>
      </c>
    </row>
    <row r="159" spans="1:6">
      <c r="A159" s="246">
        <v>3111</v>
      </c>
      <c r="B159" s="247" t="s">
        <v>369</v>
      </c>
      <c r="C159" s="248"/>
      <c r="D159" s="248">
        <f>D160</f>
        <v>0</v>
      </c>
      <c r="E159" s="248">
        <f>E160</f>
        <v>0</v>
      </c>
      <c r="F159" s="248">
        <f>E159/12</f>
        <v>0</v>
      </c>
    </row>
    <row r="160" spans="1:6">
      <c r="A160" s="217">
        <v>311121</v>
      </c>
      <c r="B160" s="218" t="s">
        <v>368</v>
      </c>
      <c r="C160" s="54"/>
      <c r="D160" s="252"/>
      <c r="E160" s="173"/>
      <c r="F160" s="173">
        <f>E160/12</f>
        <v>0</v>
      </c>
    </row>
    <row r="161" spans="1:7">
      <c r="A161" s="246">
        <v>3112</v>
      </c>
      <c r="B161" s="247" t="s">
        <v>337</v>
      </c>
      <c r="C161" s="248"/>
      <c r="D161" s="52">
        <f>SUM(D162:D164)</f>
        <v>0</v>
      </c>
      <c r="E161" s="52">
        <f>SUM(E162:E164)</f>
        <v>0</v>
      </c>
      <c r="F161" s="52">
        <f t="shared" si="10"/>
        <v>0</v>
      </c>
    </row>
    <row r="162" spans="1:7">
      <c r="A162" s="217">
        <v>311211</v>
      </c>
      <c r="B162" s="218" t="s">
        <v>338</v>
      </c>
      <c r="C162" s="54"/>
      <c r="D162" s="174"/>
      <c r="E162" s="174"/>
      <c r="F162" s="174">
        <f t="shared" si="10"/>
        <v>0</v>
      </c>
    </row>
    <row r="163" spans="1:7">
      <c r="A163" s="217">
        <v>311221</v>
      </c>
      <c r="B163" s="218" t="s">
        <v>339</v>
      </c>
      <c r="C163" s="54"/>
      <c r="D163" s="174"/>
      <c r="E163" s="174"/>
      <c r="F163" s="174">
        <f t="shared" si="10"/>
        <v>0</v>
      </c>
      <c r="G163" t="s">
        <v>372</v>
      </c>
    </row>
    <row r="164" spans="1:7">
      <c r="A164" s="217">
        <v>311223</v>
      </c>
      <c r="B164" s="218" t="s">
        <v>27</v>
      </c>
      <c r="C164" s="54"/>
      <c r="D164" s="173"/>
      <c r="E164" s="174"/>
      <c r="F164" s="174">
        <f t="shared" si="10"/>
        <v>0</v>
      </c>
      <c r="G164" t="s">
        <v>372</v>
      </c>
    </row>
    <row r="165" spans="1:7" ht="33" customHeight="1">
      <c r="A165" s="225">
        <v>10401</v>
      </c>
      <c r="B165" s="255" t="s">
        <v>41</v>
      </c>
      <c r="C165" s="169" t="s">
        <v>0</v>
      </c>
      <c r="D165" s="169" t="s">
        <v>261</v>
      </c>
      <c r="E165" s="255" t="s">
        <v>358</v>
      </c>
      <c r="F165" s="255" t="s">
        <v>359</v>
      </c>
    </row>
    <row r="166" spans="1:7">
      <c r="A166" s="234" t="s">
        <v>5</v>
      </c>
      <c r="B166" s="235" t="s">
        <v>65</v>
      </c>
      <c r="C166" s="158" t="e">
        <f>C167+C178+C216</f>
        <v>#REF!</v>
      </c>
      <c r="D166" s="158">
        <f>D167+D178+D216+D220</f>
        <v>0</v>
      </c>
      <c r="E166" s="158">
        <f>E167+E178+E216+E220</f>
        <v>0</v>
      </c>
      <c r="F166" s="158">
        <f>E166/12</f>
        <v>0</v>
      </c>
    </row>
    <row r="167" spans="1:7">
      <c r="A167" s="228">
        <v>21</v>
      </c>
      <c r="B167" s="229" t="s">
        <v>6</v>
      </c>
      <c r="C167" s="172">
        <f>C168</f>
        <v>160200</v>
      </c>
      <c r="D167" s="172">
        <f>D168</f>
        <v>0</v>
      </c>
      <c r="E167" s="172">
        <f>E168</f>
        <v>0</v>
      </c>
      <c r="F167" s="172">
        <f t="shared" ref="F167:F225" si="11">E167/12</f>
        <v>0</v>
      </c>
    </row>
    <row r="168" spans="1:7">
      <c r="A168" s="85">
        <v>211</v>
      </c>
      <c r="B168" s="86" t="s">
        <v>7</v>
      </c>
      <c r="C168" s="62">
        <f>C169+C172+C176</f>
        <v>160200</v>
      </c>
      <c r="D168" s="62">
        <f>D169+D172+D176</f>
        <v>0</v>
      </c>
      <c r="E168" s="62">
        <f>E169+E172+E176</f>
        <v>0</v>
      </c>
      <c r="F168" s="62">
        <f t="shared" si="11"/>
        <v>0</v>
      </c>
    </row>
    <row r="169" spans="1:7">
      <c r="A169" s="74">
        <v>2111</v>
      </c>
      <c r="B169" s="194" t="s">
        <v>8</v>
      </c>
      <c r="C169" s="52">
        <f>SUBTOTAL(9,C170:C171)</f>
        <v>160200</v>
      </c>
      <c r="D169" s="52">
        <f>SUM(D170:D171)</f>
        <v>0</v>
      </c>
      <c r="E169" s="52">
        <f>SUM(E170:E171)</f>
        <v>0</v>
      </c>
      <c r="F169" s="52">
        <f t="shared" si="11"/>
        <v>0</v>
      </c>
    </row>
    <row r="170" spans="1:7">
      <c r="A170" s="217">
        <v>211101</v>
      </c>
      <c r="B170" s="218" t="s">
        <v>9</v>
      </c>
      <c r="C170" s="173">
        <f>160200-C171</f>
        <v>121200</v>
      </c>
      <c r="D170" s="173"/>
      <c r="E170" s="173"/>
      <c r="F170" s="173">
        <f t="shared" si="11"/>
        <v>0</v>
      </c>
    </row>
    <row r="171" spans="1:7">
      <c r="A171" s="249">
        <v>211106</v>
      </c>
      <c r="B171" s="218" t="s">
        <v>33</v>
      </c>
      <c r="C171" s="173">
        <v>39000</v>
      </c>
      <c r="D171" s="173"/>
      <c r="E171" s="173"/>
      <c r="F171" s="173">
        <f t="shared" si="11"/>
        <v>0</v>
      </c>
    </row>
    <row r="172" spans="1:7">
      <c r="A172" s="74">
        <v>2113</v>
      </c>
      <c r="B172" s="194" t="s">
        <v>10</v>
      </c>
      <c r="C172" s="52">
        <f>SUBTOTAL(9,C173:C175)</f>
        <v>0</v>
      </c>
      <c r="D172" s="256">
        <f>SUM(D173:D175)</f>
        <v>0</v>
      </c>
      <c r="E172" s="256">
        <f>SUM(E173:E175)</f>
        <v>0</v>
      </c>
      <c r="F172" s="256">
        <f t="shared" si="11"/>
        <v>0</v>
      </c>
    </row>
    <row r="173" spans="1:7">
      <c r="A173" s="217">
        <v>211301</v>
      </c>
      <c r="B173" s="218" t="s">
        <v>11</v>
      </c>
      <c r="C173" s="174">
        <v>0</v>
      </c>
      <c r="D173" s="174"/>
      <c r="E173" s="174"/>
      <c r="F173" s="175">
        <f t="shared" si="11"/>
        <v>0</v>
      </c>
    </row>
    <row r="174" spans="1:7">
      <c r="A174" s="217">
        <v>211306</v>
      </c>
      <c r="B174" s="218" t="s">
        <v>42</v>
      </c>
      <c r="C174" s="173">
        <v>0</v>
      </c>
      <c r="D174" s="173"/>
      <c r="E174" s="173"/>
      <c r="F174" s="175">
        <f t="shared" si="11"/>
        <v>0</v>
      </c>
    </row>
    <row r="175" spans="1:7">
      <c r="A175" s="217">
        <v>211308</v>
      </c>
      <c r="B175" s="218" t="s">
        <v>12</v>
      </c>
      <c r="C175" s="173">
        <v>0</v>
      </c>
      <c r="D175" s="173"/>
      <c r="E175" s="175"/>
      <c r="F175" s="175">
        <f t="shared" si="11"/>
        <v>0</v>
      </c>
    </row>
    <row r="176" spans="1:7">
      <c r="A176" s="74">
        <v>2115</v>
      </c>
      <c r="B176" s="194" t="s">
        <v>13</v>
      </c>
      <c r="C176" s="52">
        <f>SUBTOTAL(9,C177)</f>
        <v>0</v>
      </c>
      <c r="D176" s="52">
        <f>D177</f>
        <v>0</v>
      </c>
      <c r="E176" s="52">
        <f>E177</f>
        <v>0</v>
      </c>
      <c r="F176" s="52">
        <f t="shared" si="11"/>
        <v>0</v>
      </c>
    </row>
    <row r="177" spans="1:6">
      <c r="A177" s="217">
        <v>211501</v>
      </c>
      <c r="B177" s="218" t="s">
        <v>14</v>
      </c>
      <c r="C177" s="174">
        <v>0</v>
      </c>
      <c r="D177" s="174"/>
      <c r="E177" s="174"/>
      <c r="F177" s="174">
        <f t="shared" si="11"/>
        <v>0</v>
      </c>
    </row>
    <row r="178" spans="1:6" ht="18" customHeight="1">
      <c r="A178" s="228">
        <v>22</v>
      </c>
      <c r="B178" s="229" t="s">
        <v>15</v>
      </c>
      <c r="C178" s="172" t="e">
        <f>C179+#REF!+#REF!+#REF!</f>
        <v>#REF!</v>
      </c>
      <c r="D178" s="172">
        <f>D179</f>
        <v>0</v>
      </c>
      <c r="E178" s="172">
        <f>E179</f>
        <v>0</v>
      </c>
      <c r="F178" s="172">
        <f t="shared" si="11"/>
        <v>0</v>
      </c>
    </row>
    <row r="179" spans="1:6">
      <c r="A179" s="85">
        <v>221</v>
      </c>
      <c r="B179" s="86" t="s">
        <v>43</v>
      </c>
      <c r="C179" s="62">
        <f>C180+C184+C187+C190+C193</f>
        <v>45600</v>
      </c>
      <c r="D179" s="62">
        <f>D180+D184+D187+D190+D193+D198+D203+D207+D210+D212+D214</f>
        <v>0</v>
      </c>
      <c r="E179" s="362">
        <f>E180+E184+E187+E190+E193+E198+E203+E207+E210+E212+E214</f>
        <v>0</v>
      </c>
      <c r="F179" s="362">
        <f t="shared" si="11"/>
        <v>0</v>
      </c>
    </row>
    <row r="180" spans="1:6">
      <c r="A180" s="74">
        <v>2211</v>
      </c>
      <c r="B180" s="247" t="s">
        <v>304</v>
      </c>
      <c r="C180" s="52">
        <f>SUBTOTAL(9,C181:C183)</f>
        <v>6480</v>
      </c>
      <c r="D180" s="52">
        <f>SUM(D181:D183)</f>
        <v>0</v>
      </c>
      <c r="E180" s="52">
        <f>SUM(E181:E183)</f>
        <v>0</v>
      </c>
      <c r="F180" s="52">
        <f t="shared" si="11"/>
        <v>0</v>
      </c>
    </row>
    <row r="181" spans="1:6">
      <c r="A181" s="217">
        <v>221101</v>
      </c>
      <c r="B181" s="218" t="s">
        <v>307</v>
      </c>
      <c r="C181" s="173">
        <v>1800</v>
      </c>
      <c r="D181" s="173"/>
      <c r="E181" s="173"/>
      <c r="F181" s="174">
        <f t="shared" si="11"/>
        <v>0</v>
      </c>
    </row>
    <row r="182" spans="1:6">
      <c r="A182" s="217">
        <v>221102</v>
      </c>
      <c r="B182" s="218" t="s">
        <v>30</v>
      </c>
      <c r="C182" s="173">
        <v>1680</v>
      </c>
      <c r="D182" s="173"/>
      <c r="E182" s="173"/>
      <c r="F182" s="174">
        <f t="shared" si="11"/>
        <v>0</v>
      </c>
    </row>
    <row r="183" spans="1:6">
      <c r="A183" s="217">
        <v>221103</v>
      </c>
      <c r="B183" s="218" t="s">
        <v>306</v>
      </c>
      <c r="C183" s="173">
        <v>3000</v>
      </c>
      <c r="D183" s="173"/>
      <c r="E183" s="174"/>
      <c r="F183" s="174">
        <f t="shared" si="11"/>
        <v>0</v>
      </c>
    </row>
    <row r="184" spans="1:6">
      <c r="A184" s="246">
        <v>2221</v>
      </c>
      <c r="B184" s="247" t="s">
        <v>17</v>
      </c>
      <c r="C184" s="52">
        <f>SUBTOTAL(9,C185:C186)</f>
        <v>25200</v>
      </c>
      <c r="D184" s="52">
        <f>SUM(D185:D186)</f>
        <v>0</v>
      </c>
      <c r="E184" s="52">
        <f>SUM(E185:E186)</f>
        <v>0</v>
      </c>
      <c r="F184" s="52">
        <f t="shared" si="11"/>
        <v>0</v>
      </c>
    </row>
    <row r="185" spans="1:6">
      <c r="A185" s="217">
        <v>222101</v>
      </c>
      <c r="B185" s="218" t="s">
        <v>18</v>
      </c>
      <c r="C185" s="173">
        <v>0</v>
      </c>
      <c r="D185" s="173"/>
      <c r="E185" s="173"/>
      <c r="F185" s="173">
        <f t="shared" si="11"/>
        <v>0</v>
      </c>
    </row>
    <row r="186" spans="1:6">
      <c r="A186" s="217">
        <v>222102</v>
      </c>
      <c r="B186" s="218" t="s">
        <v>19</v>
      </c>
      <c r="C186" s="173">
        <v>25200</v>
      </c>
      <c r="D186" s="173"/>
      <c r="E186" s="173"/>
      <c r="F186" s="173">
        <f t="shared" si="11"/>
        <v>0</v>
      </c>
    </row>
    <row r="187" spans="1:6">
      <c r="A187" s="74">
        <v>2222</v>
      </c>
      <c r="B187" s="194" t="s">
        <v>20</v>
      </c>
      <c r="C187" s="52">
        <f>SUBTOTAL(9,C188:C189)</f>
        <v>10320</v>
      </c>
      <c r="D187" s="52">
        <f>SUM(D188:D189)</f>
        <v>0</v>
      </c>
      <c r="E187" s="52">
        <f>SUM(E188:E189)</f>
        <v>0</v>
      </c>
      <c r="F187" s="52">
        <f t="shared" si="11"/>
        <v>0</v>
      </c>
    </row>
    <row r="188" spans="1:6">
      <c r="A188" s="217">
        <v>222201</v>
      </c>
      <c r="B188" s="218" t="s">
        <v>309</v>
      </c>
      <c r="C188" s="173">
        <v>9120</v>
      </c>
      <c r="D188" s="173"/>
      <c r="E188" s="173"/>
      <c r="F188" s="173">
        <f t="shared" si="11"/>
        <v>0</v>
      </c>
    </row>
    <row r="189" spans="1:6">
      <c r="A189" s="217">
        <v>222202</v>
      </c>
      <c r="B189" s="218" t="s">
        <v>328</v>
      </c>
      <c r="C189" s="174">
        <v>1200</v>
      </c>
      <c r="D189" s="173"/>
      <c r="E189" s="173"/>
      <c r="F189" s="173">
        <f t="shared" si="11"/>
        <v>0</v>
      </c>
    </row>
    <row r="190" spans="1:6">
      <c r="A190" s="246">
        <v>2223</v>
      </c>
      <c r="B190" s="247" t="s">
        <v>23</v>
      </c>
      <c r="C190" s="52">
        <f>SUBTOTAL(9,C191:C192)</f>
        <v>0</v>
      </c>
      <c r="D190" s="52">
        <f>SUM(D191:D192)</f>
        <v>0</v>
      </c>
      <c r="E190" s="52">
        <f>SUM(E191:E192)</f>
        <v>0</v>
      </c>
      <c r="F190" s="52">
        <f t="shared" si="11"/>
        <v>0</v>
      </c>
    </row>
    <row r="191" spans="1:6">
      <c r="A191" s="217">
        <v>222301</v>
      </c>
      <c r="B191" s="218" t="s">
        <v>310</v>
      </c>
      <c r="C191" s="173">
        <v>0</v>
      </c>
      <c r="D191" s="173"/>
      <c r="E191" s="173"/>
      <c r="F191" s="173">
        <f t="shared" si="11"/>
        <v>0</v>
      </c>
    </row>
    <row r="192" spans="1:6">
      <c r="A192" s="217">
        <v>222302</v>
      </c>
      <c r="B192" s="218" t="s">
        <v>24</v>
      </c>
      <c r="C192" s="173">
        <v>0</v>
      </c>
      <c r="D192" s="173"/>
      <c r="E192" s="173"/>
      <c r="F192" s="173">
        <f t="shared" si="11"/>
        <v>0</v>
      </c>
    </row>
    <row r="193" spans="1:6">
      <c r="A193" s="246">
        <v>2224</v>
      </c>
      <c r="B193" s="194" t="s">
        <v>330</v>
      </c>
      <c r="C193" s="52">
        <f>SUBTOTAL(9,C194)</f>
        <v>3600</v>
      </c>
      <c r="D193" s="52">
        <f>SUM(D194:D197)</f>
        <v>0</v>
      </c>
      <c r="E193" s="52">
        <f>SUM(E194:E197)</f>
        <v>0</v>
      </c>
      <c r="F193" s="52">
        <f t="shared" si="11"/>
        <v>0</v>
      </c>
    </row>
    <row r="194" spans="1:6">
      <c r="A194" s="217">
        <v>222401</v>
      </c>
      <c r="B194" s="218" t="s">
        <v>343</v>
      </c>
      <c r="C194" s="173">
        <v>3600</v>
      </c>
      <c r="D194" s="173"/>
      <c r="E194" s="173"/>
      <c r="F194" s="173">
        <f t="shared" si="11"/>
        <v>0</v>
      </c>
    </row>
    <row r="195" spans="1:6">
      <c r="A195" s="217">
        <v>222403</v>
      </c>
      <c r="B195" s="218" t="s">
        <v>312</v>
      </c>
      <c r="C195" s="173"/>
      <c r="D195" s="173"/>
      <c r="E195" s="173"/>
      <c r="F195" s="173">
        <f t="shared" si="11"/>
        <v>0</v>
      </c>
    </row>
    <row r="196" spans="1:6">
      <c r="A196" s="217">
        <v>222404</v>
      </c>
      <c r="B196" s="218" t="s">
        <v>313</v>
      </c>
      <c r="C196" s="173"/>
      <c r="D196" s="173"/>
      <c r="E196" s="173"/>
      <c r="F196" s="173">
        <f t="shared" si="11"/>
        <v>0</v>
      </c>
    </row>
    <row r="197" spans="1:6">
      <c r="A197" s="217">
        <v>222405</v>
      </c>
      <c r="B197" s="218" t="s">
        <v>314</v>
      </c>
      <c r="C197" s="173"/>
      <c r="D197" s="173"/>
      <c r="E197" s="173"/>
      <c r="F197" s="173">
        <f t="shared" si="11"/>
        <v>0</v>
      </c>
    </row>
    <row r="198" spans="1:6">
      <c r="A198" s="74">
        <v>2225</v>
      </c>
      <c r="B198" s="194" t="s">
        <v>331</v>
      </c>
      <c r="C198" s="52">
        <f>SUBTOTAL(9,C199)</f>
        <v>0</v>
      </c>
      <c r="D198" s="52">
        <f>SUM(D199:D202)</f>
        <v>0</v>
      </c>
      <c r="E198" s="52">
        <f>SUM(E199:E202)</f>
        <v>0</v>
      </c>
      <c r="F198" s="52">
        <f t="shared" si="11"/>
        <v>0</v>
      </c>
    </row>
    <row r="199" spans="1:6">
      <c r="A199" s="217">
        <v>222501</v>
      </c>
      <c r="B199" s="218" t="s">
        <v>315</v>
      </c>
      <c r="C199" s="173">
        <v>0</v>
      </c>
      <c r="D199" s="173"/>
      <c r="E199" s="174"/>
      <c r="F199" s="174">
        <f t="shared" si="11"/>
        <v>0</v>
      </c>
    </row>
    <row r="200" spans="1:6">
      <c r="A200" s="217">
        <v>222502</v>
      </c>
      <c r="B200" s="218" t="s">
        <v>316</v>
      </c>
      <c r="C200" s="173"/>
      <c r="D200" s="173"/>
      <c r="E200" s="174"/>
      <c r="F200" s="174">
        <f t="shared" si="11"/>
        <v>0</v>
      </c>
    </row>
    <row r="201" spans="1:6">
      <c r="A201" s="217">
        <v>222503</v>
      </c>
      <c r="B201" s="218" t="s">
        <v>317</v>
      </c>
      <c r="C201" s="173"/>
      <c r="D201" s="173"/>
      <c r="E201" s="174"/>
      <c r="F201" s="174">
        <f t="shared" si="11"/>
        <v>0</v>
      </c>
    </row>
    <row r="202" spans="1:6">
      <c r="A202" s="217">
        <v>222504</v>
      </c>
      <c r="B202" s="218" t="s">
        <v>318</v>
      </c>
      <c r="C202" s="173"/>
      <c r="D202" s="173"/>
      <c r="E202" s="174"/>
      <c r="F202" s="174">
        <f t="shared" si="11"/>
        <v>0</v>
      </c>
    </row>
    <row r="203" spans="1:6">
      <c r="A203" s="246">
        <v>2231</v>
      </c>
      <c r="B203" s="247" t="s">
        <v>21</v>
      </c>
      <c r="C203" s="52">
        <f>SUBTOTAL(9,C204)</f>
        <v>7200</v>
      </c>
      <c r="D203" s="52">
        <f>SUM(D204:D206)</f>
        <v>0</v>
      </c>
      <c r="E203" s="52">
        <f>SUM(E204:E206)</f>
        <v>0</v>
      </c>
      <c r="F203" s="52">
        <f t="shared" si="11"/>
        <v>0</v>
      </c>
    </row>
    <row r="204" spans="1:6">
      <c r="A204" s="217">
        <v>223101</v>
      </c>
      <c r="B204" s="218" t="s">
        <v>319</v>
      </c>
      <c r="C204" s="173">
        <v>7200</v>
      </c>
      <c r="D204" s="173"/>
      <c r="E204" s="174"/>
      <c r="F204" s="174">
        <f t="shared" si="11"/>
        <v>0</v>
      </c>
    </row>
    <row r="205" spans="1:6">
      <c r="A205" s="217">
        <v>223102</v>
      </c>
      <c r="B205" s="218" t="s">
        <v>22</v>
      </c>
      <c r="C205" s="173"/>
      <c r="D205" s="173"/>
      <c r="E205" s="174"/>
      <c r="F205" s="174">
        <f t="shared" si="11"/>
        <v>0</v>
      </c>
    </row>
    <row r="206" spans="1:6">
      <c r="A206" s="217">
        <v>223103</v>
      </c>
      <c r="B206" s="218" t="s">
        <v>340</v>
      </c>
      <c r="C206" s="173"/>
      <c r="D206" s="173"/>
      <c r="E206" s="174"/>
      <c r="F206" s="174">
        <f t="shared" si="11"/>
        <v>0</v>
      </c>
    </row>
    <row r="207" spans="1:6">
      <c r="A207" s="246">
        <v>2244</v>
      </c>
      <c r="B207" s="247" t="s">
        <v>321</v>
      </c>
      <c r="C207" s="52">
        <f>SUBTOTAL(9,C208:C209)</f>
        <v>8400</v>
      </c>
      <c r="D207" s="52">
        <f>SUM(D208:D209)</f>
        <v>0</v>
      </c>
      <c r="E207" s="361">
        <f>SUM(E208:E209)</f>
        <v>0</v>
      </c>
      <c r="F207" s="361">
        <f t="shared" si="11"/>
        <v>0</v>
      </c>
    </row>
    <row r="208" spans="1:6">
      <c r="A208" s="217">
        <v>224401</v>
      </c>
      <c r="B208" s="218" t="s">
        <v>322</v>
      </c>
      <c r="C208" s="173">
        <v>6000</v>
      </c>
      <c r="D208" s="173"/>
      <c r="E208" s="173"/>
      <c r="F208" s="173">
        <f t="shared" si="11"/>
        <v>0</v>
      </c>
    </row>
    <row r="209" spans="1:7">
      <c r="A209" s="217">
        <v>224402</v>
      </c>
      <c r="B209" s="218" t="s">
        <v>323</v>
      </c>
      <c r="C209" s="173">
        <v>2400</v>
      </c>
      <c r="D209" s="173"/>
      <c r="E209" s="173"/>
      <c r="F209" s="173">
        <f t="shared" si="11"/>
        <v>0</v>
      </c>
    </row>
    <row r="210" spans="1:7">
      <c r="A210" s="246">
        <v>2252</v>
      </c>
      <c r="B210" s="247" t="s">
        <v>342</v>
      </c>
      <c r="C210" s="248">
        <f>SUBTOTAL(9,C151:C152)</f>
        <v>0</v>
      </c>
      <c r="D210" s="52">
        <f>D211</f>
        <v>0</v>
      </c>
      <c r="E210" s="52">
        <f>E211</f>
        <v>0</v>
      </c>
      <c r="F210" s="52">
        <f t="shared" si="11"/>
        <v>0</v>
      </c>
    </row>
    <row r="211" spans="1:7">
      <c r="A211" s="217">
        <v>225201</v>
      </c>
      <c r="B211" s="218" t="s">
        <v>342</v>
      </c>
      <c r="C211" s="54"/>
      <c r="D211" s="251"/>
      <c r="E211" s="251"/>
      <c r="F211" s="251">
        <f t="shared" si="11"/>
        <v>0</v>
      </c>
    </row>
    <row r="212" spans="1:7">
      <c r="A212" s="246">
        <v>2261</v>
      </c>
      <c r="B212" s="247" t="s">
        <v>379</v>
      </c>
      <c r="C212" s="52">
        <f>SUBTOTAL(9,C213:C214)</f>
        <v>0</v>
      </c>
      <c r="D212" s="52">
        <f>D213</f>
        <v>0</v>
      </c>
      <c r="E212" s="361">
        <f>E213</f>
        <v>0</v>
      </c>
      <c r="F212" s="361">
        <f t="shared" si="11"/>
        <v>0</v>
      </c>
    </row>
    <row r="213" spans="1:7">
      <c r="A213" s="217">
        <v>226102</v>
      </c>
      <c r="B213" s="218" t="s">
        <v>341</v>
      </c>
      <c r="C213" s="173"/>
      <c r="D213" s="173"/>
      <c r="E213" s="173"/>
      <c r="F213" s="173">
        <f t="shared" si="11"/>
        <v>0</v>
      </c>
      <c r="G213" t="s">
        <v>372</v>
      </c>
    </row>
    <row r="214" spans="1:7">
      <c r="A214" s="246">
        <v>2281</v>
      </c>
      <c r="B214" s="247" t="s">
        <v>349</v>
      </c>
      <c r="C214" s="52">
        <f>SUBTOTAL(9,C215:C215)</f>
        <v>0</v>
      </c>
      <c r="D214" s="52">
        <f>D215</f>
        <v>0</v>
      </c>
      <c r="E214" s="52">
        <f>E215</f>
        <v>0</v>
      </c>
      <c r="F214" s="52">
        <f t="shared" si="11"/>
        <v>0</v>
      </c>
    </row>
    <row r="215" spans="1:7">
      <c r="A215" s="217">
        <v>228101</v>
      </c>
      <c r="B215" s="218" t="s">
        <v>325</v>
      </c>
      <c r="C215" s="173">
        <v>0</v>
      </c>
      <c r="D215" s="173"/>
      <c r="E215" s="173"/>
      <c r="F215" s="173">
        <f t="shared" si="11"/>
        <v>0</v>
      </c>
    </row>
    <row r="216" spans="1:7">
      <c r="A216" s="228">
        <v>26</v>
      </c>
      <c r="B216" s="257" t="s">
        <v>44</v>
      </c>
      <c r="C216" s="258">
        <f t="shared" ref="C216:E217" si="12">C217</f>
        <v>0</v>
      </c>
      <c r="D216" s="172">
        <f t="shared" si="12"/>
        <v>0</v>
      </c>
      <c r="E216" s="172">
        <f t="shared" si="12"/>
        <v>0</v>
      </c>
      <c r="F216" s="172">
        <f t="shared" si="11"/>
        <v>0</v>
      </c>
    </row>
    <row r="217" spans="1:7" ht="15.75" customHeight="1">
      <c r="A217" s="85">
        <v>263</v>
      </c>
      <c r="B217" s="86" t="s">
        <v>45</v>
      </c>
      <c r="C217" s="259">
        <f t="shared" si="12"/>
        <v>0</v>
      </c>
      <c r="D217" s="62">
        <f t="shared" si="12"/>
        <v>0</v>
      </c>
      <c r="E217" s="62">
        <f t="shared" si="12"/>
        <v>0</v>
      </c>
      <c r="F217" s="62">
        <f t="shared" si="11"/>
        <v>0</v>
      </c>
    </row>
    <row r="218" spans="1:7">
      <c r="A218" s="74">
        <v>2631</v>
      </c>
      <c r="B218" s="194" t="s">
        <v>69</v>
      </c>
      <c r="C218" s="52">
        <f>SUBTOTAL(9,C219:C219)</f>
        <v>0</v>
      </c>
      <c r="D218" s="52">
        <f>D219</f>
        <v>0</v>
      </c>
      <c r="E218" s="52">
        <f>E219</f>
        <v>0</v>
      </c>
      <c r="F218" s="52">
        <f t="shared" si="11"/>
        <v>0</v>
      </c>
    </row>
    <row r="219" spans="1:7">
      <c r="A219" s="217">
        <v>263103</v>
      </c>
      <c r="B219" s="218" t="s">
        <v>386</v>
      </c>
      <c r="C219" s="251">
        <v>0</v>
      </c>
      <c r="D219" s="251"/>
      <c r="E219" s="173"/>
      <c r="F219" s="173">
        <f t="shared" si="11"/>
        <v>0</v>
      </c>
    </row>
    <row r="220" spans="1:7">
      <c r="A220" s="253">
        <v>31</v>
      </c>
      <c r="B220" s="229" t="s">
        <v>356</v>
      </c>
      <c r="C220" s="242" t="e">
        <f>C221+#REF!+#REF!+#REF!</f>
        <v>#REF!</v>
      </c>
      <c r="D220" s="360">
        <f>D221</f>
        <v>0</v>
      </c>
      <c r="E220" s="360">
        <f>E221</f>
        <v>0</v>
      </c>
      <c r="F220" s="360">
        <f t="shared" si="11"/>
        <v>0</v>
      </c>
    </row>
    <row r="221" spans="1:7">
      <c r="A221" s="254">
        <v>311</v>
      </c>
      <c r="B221" s="244" t="s">
        <v>357</v>
      </c>
      <c r="C221" s="245" t="e">
        <f>C222+C227+C230+C233+C236</f>
        <v>#REF!</v>
      </c>
      <c r="D221" s="62">
        <f>D222</f>
        <v>0</v>
      </c>
      <c r="E221" s="62">
        <f>E222</f>
        <v>0</v>
      </c>
      <c r="F221" s="62">
        <f t="shared" si="11"/>
        <v>0</v>
      </c>
    </row>
    <row r="222" spans="1:7">
      <c r="A222" s="246">
        <v>3112</v>
      </c>
      <c r="B222" s="247" t="s">
        <v>337</v>
      </c>
      <c r="C222" s="248"/>
      <c r="D222" s="52">
        <f>SUM(D223:D225)</f>
        <v>0</v>
      </c>
      <c r="E222" s="52">
        <f>SUM(E223:E225)</f>
        <v>0</v>
      </c>
      <c r="F222" s="52">
        <f t="shared" si="11"/>
        <v>0</v>
      </c>
    </row>
    <row r="223" spans="1:7">
      <c r="A223" s="217">
        <v>311211</v>
      </c>
      <c r="B223" s="218" t="s">
        <v>338</v>
      </c>
      <c r="C223" s="54"/>
      <c r="D223" s="174"/>
      <c r="E223" s="174"/>
      <c r="F223" s="174">
        <f t="shared" si="11"/>
        <v>0</v>
      </c>
    </row>
    <row r="224" spans="1:7">
      <c r="A224" s="217">
        <v>311221</v>
      </c>
      <c r="B224" s="218" t="s">
        <v>339</v>
      </c>
      <c r="C224" s="54"/>
      <c r="D224" s="174"/>
      <c r="E224" s="174"/>
      <c r="F224" s="174">
        <f t="shared" si="11"/>
        <v>0</v>
      </c>
    </row>
    <row r="225" spans="1:6">
      <c r="A225" s="217">
        <v>311223</v>
      </c>
      <c r="B225" s="218" t="s">
        <v>27</v>
      </c>
      <c r="C225" s="54"/>
      <c r="D225" s="173"/>
      <c r="E225" s="174"/>
      <c r="F225" s="174">
        <f t="shared" si="11"/>
        <v>0</v>
      </c>
    </row>
    <row r="226" spans="1:6" ht="44.6">
      <c r="A226" s="260">
        <v>10501</v>
      </c>
      <c r="B226" s="359" t="s">
        <v>80</v>
      </c>
      <c r="C226" s="429" t="s">
        <v>261</v>
      </c>
      <c r="D226" s="429" t="s">
        <v>1</v>
      </c>
      <c r="E226" s="255" t="s">
        <v>358</v>
      </c>
      <c r="F226" s="255" t="s">
        <v>359</v>
      </c>
    </row>
    <row r="227" spans="1:6" ht="20.25" customHeight="1">
      <c r="A227" s="261" t="s">
        <v>5</v>
      </c>
      <c r="B227" s="235" t="s">
        <v>65</v>
      </c>
      <c r="C227" s="262" t="e">
        <f>C228+C239</f>
        <v>#REF!</v>
      </c>
      <c r="D227" s="262">
        <f>D228+D239</f>
        <v>0</v>
      </c>
      <c r="E227" s="262">
        <f>E228+E239</f>
        <v>0</v>
      </c>
      <c r="F227" s="262">
        <f>E227/12</f>
        <v>0</v>
      </c>
    </row>
    <row r="228" spans="1:6">
      <c r="A228" s="263">
        <v>21</v>
      </c>
      <c r="B228" s="264" t="s">
        <v>6</v>
      </c>
      <c r="C228" s="265">
        <f>C229</f>
        <v>27000</v>
      </c>
      <c r="D228" s="265">
        <f>D229</f>
        <v>0</v>
      </c>
      <c r="E228" s="265">
        <f>E229</f>
        <v>0</v>
      </c>
      <c r="F228" s="265">
        <f t="shared" ref="F228:F291" si="13">E228/12</f>
        <v>0</v>
      </c>
    </row>
    <row r="229" spans="1:6">
      <c r="A229" s="266">
        <v>211</v>
      </c>
      <c r="B229" s="267" t="s">
        <v>7</v>
      </c>
      <c r="C229" s="97">
        <f>C230+C233+C237</f>
        <v>27000</v>
      </c>
      <c r="D229" s="97">
        <f>D230+D233+D237</f>
        <v>0</v>
      </c>
      <c r="E229" s="97">
        <f>E230+E233+E237</f>
        <v>0</v>
      </c>
      <c r="F229" s="97">
        <f t="shared" si="13"/>
        <v>0</v>
      </c>
    </row>
    <row r="230" spans="1:6">
      <c r="A230" s="74">
        <v>2111</v>
      </c>
      <c r="B230" s="194" t="s">
        <v>8</v>
      </c>
      <c r="C230" s="52">
        <f>SUBTOTAL(9,C231:C232)</f>
        <v>27000</v>
      </c>
      <c r="D230" s="52">
        <f>SUM(D231:D232)</f>
        <v>0</v>
      </c>
      <c r="E230" s="52">
        <f>SUM(E231:E232)</f>
        <v>0</v>
      </c>
      <c r="F230" s="52">
        <f t="shared" si="13"/>
        <v>0</v>
      </c>
    </row>
    <row r="231" spans="1:6">
      <c r="A231" s="268">
        <v>211101</v>
      </c>
      <c r="B231" s="269" t="s">
        <v>9</v>
      </c>
      <c r="C231" s="159">
        <v>21000</v>
      </c>
      <c r="D231" s="159"/>
      <c r="E231" s="159"/>
      <c r="F231" s="173">
        <f t="shared" si="13"/>
        <v>0</v>
      </c>
    </row>
    <row r="232" spans="1:6">
      <c r="A232" s="268">
        <v>211106</v>
      </c>
      <c r="B232" s="269" t="s">
        <v>33</v>
      </c>
      <c r="C232" s="252">
        <v>6000</v>
      </c>
      <c r="D232" s="159"/>
      <c r="E232" s="173"/>
      <c r="F232" s="173">
        <f t="shared" si="13"/>
        <v>0</v>
      </c>
    </row>
    <row r="233" spans="1:6">
      <c r="A233" s="270">
        <v>2113</v>
      </c>
      <c r="B233" s="271" t="s">
        <v>10</v>
      </c>
      <c r="C233" s="272">
        <f>SUBTOTAL(9,C234:C236)</f>
        <v>0</v>
      </c>
      <c r="D233" s="272">
        <f>SUM(D234:D236)</f>
        <v>0</v>
      </c>
      <c r="E233" s="272">
        <f>SUM(E234:E236)</f>
        <v>0</v>
      </c>
      <c r="F233" s="272">
        <f t="shared" si="13"/>
        <v>0</v>
      </c>
    </row>
    <row r="234" spans="1:6">
      <c r="A234" s="217">
        <v>211301</v>
      </c>
      <c r="B234" s="218" t="s">
        <v>11</v>
      </c>
      <c r="C234" s="173">
        <v>0</v>
      </c>
      <c r="D234" s="173"/>
      <c r="E234" s="173"/>
      <c r="F234" s="173">
        <f t="shared" si="13"/>
        <v>0</v>
      </c>
    </row>
    <row r="235" spans="1:6">
      <c r="A235" s="268">
        <v>211306</v>
      </c>
      <c r="B235" s="269" t="s">
        <v>34</v>
      </c>
      <c r="C235" s="159">
        <v>0</v>
      </c>
      <c r="D235" s="159"/>
      <c r="E235" s="173"/>
      <c r="F235" s="173">
        <f t="shared" si="13"/>
        <v>0</v>
      </c>
    </row>
    <row r="236" spans="1:6">
      <c r="A236" s="217">
        <v>211308</v>
      </c>
      <c r="B236" s="218" t="s">
        <v>12</v>
      </c>
      <c r="C236" s="174">
        <v>0</v>
      </c>
      <c r="D236" s="174"/>
      <c r="E236" s="173"/>
      <c r="F236" s="173">
        <f t="shared" si="13"/>
        <v>0</v>
      </c>
    </row>
    <row r="237" spans="1:6">
      <c r="A237" s="74">
        <v>2115</v>
      </c>
      <c r="B237" s="194" t="s">
        <v>13</v>
      </c>
      <c r="C237" s="52">
        <f>SUBTOTAL(9,C238)</f>
        <v>0</v>
      </c>
      <c r="D237" s="52">
        <f>D238</f>
        <v>0</v>
      </c>
      <c r="E237" s="52">
        <f>E238</f>
        <v>0</v>
      </c>
      <c r="F237" s="52">
        <f t="shared" si="13"/>
        <v>0</v>
      </c>
    </row>
    <row r="238" spans="1:6">
      <c r="A238" s="217">
        <v>211501</v>
      </c>
      <c r="B238" s="218" t="s">
        <v>14</v>
      </c>
      <c r="C238" s="173">
        <v>0</v>
      </c>
      <c r="D238" s="173"/>
      <c r="E238" s="173"/>
      <c r="F238" s="173">
        <f t="shared" si="13"/>
        <v>0</v>
      </c>
    </row>
    <row r="239" spans="1:6" ht="16.5" customHeight="1">
      <c r="A239" s="273">
        <v>22</v>
      </c>
      <c r="B239" s="274" t="s">
        <v>15</v>
      </c>
      <c r="C239" s="275" t="e">
        <f>C240+#REF!+#REF!</f>
        <v>#REF!</v>
      </c>
      <c r="D239" s="275">
        <f>D240</f>
        <v>0</v>
      </c>
      <c r="E239" s="275">
        <f>E240</f>
        <v>0</v>
      </c>
      <c r="F239" s="275">
        <f t="shared" si="13"/>
        <v>0</v>
      </c>
    </row>
    <row r="240" spans="1:6" ht="15.75" customHeight="1">
      <c r="A240" s="276">
        <v>221</v>
      </c>
      <c r="B240" s="277" t="s">
        <v>43</v>
      </c>
      <c r="C240" s="278">
        <f>C241+C245+C248+C251+C254</f>
        <v>12710</v>
      </c>
      <c r="D240" s="278">
        <f>D241+D245+D248+D251+D254+D259+D264+D268+D272</f>
        <v>0</v>
      </c>
      <c r="E240" s="278">
        <f>E241+E245+E248+E251+E254+E259+E264+E268+E272</f>
        <v>0</v>
      </c>
      <c r="F240" s="278">
        <f t="shared" si="13"/>
        <v>0</v>
      </c>
    </row>
    <row r="241" spans="1:6">
      <c r="A241" s="74">
        <v>2211</v>
      </c>
      <c r="B241" s="194" t="s">
        <v>304</v>
      </c>
      <c r="C241" s="52">
        <f>SUBTOTAL(9,C242:C244)</f>
        <v>1680</v>
      </c>
      <c r="D241" s="52">
        <f>SUM(D242:D244)</f>
        <v>0</v>
      </c>
      <c r="E241" s="52">
        <f>SUM(E242:E244)</f>
        <v>0</v>
      </c>
      <c r="F241" s="52">
        <f t="shared" si="13"/>
        <v>0</v>
      </c>
    </row>
    <row r="242" spans="1:6">
      <c r="A242" s="268">
        <v>221101</v>
      </c>
      <c r="B242" s="269" t="s">
        <v>305</v>
      </c>
      <c r="C242" s="159">
        <v>600</v>
      </c>
      <c r="D242" s="159"/>
      <c r="E242" s="173"/>
      <c r="F242" s="174">
        <f t="shared" si="13"/>
        <v>0</v>
      </c>
    </row>
    <row r="243" spans="1:6">
      <c r="A243" s="268">
        <v>221102</v>
      </c>
      <c r="B243" s="269" t="s">
        <v>30</v>
      </c>
      <c r="C243" s="159">
        <v>480</v>
      </c>
      <c r="D243" s="159"/>
      <c r="E243" s="159"/>
      <c r="F243" s="174">
        <f t="shared" si="13"/>
        <v>0</v>
      </c>
    </row>
    <row r="244" spans="1:6">
      <c r="A244" s="217">
        <v>221103</v>
      </c>
      <c r="B244" s="218" t="s">
        <v>306</v>
      </c>
      <c r="C244" s="173">
        <v>600</v>
      </c>
      <c r="D244" s="173"/>
      <c r="E244" s="174"/>
      <c r="F244" s="174">
        <f t="shared" si="13"/>
        <v>0</v>
      </c>
    </row>
    <row r="245" spans="1:6">
      <c r="A245" s="246">
        <v>2221</v>
      </c>
      <c r="B245" s="247" t="s">
        <v>17</v>
      </c>
      <c r="C245" s="52">
        <f>SUBTOTAL(9,C246:C247)</f>
        <v>0</v>
      </c>
      <c r="D245" s="52">
        <f>SUM(D246:D247)</f>
        <v>0</v>
      </c>
      <c r="E245" s="52">
        <f>SUM(E246:E247)</f>
        <v>0</v>
      </c>
      <c r="F245" s="52">
        <f t="shared" si="13"/>
        <v>0</v>
      </c>
    </row>
    <row r="246" spans="1:6">
      <c r="A246" s="217">
        <v>222101</v>
      </c>
      <c r="B246" s="218" t="s">
        <v>18</v>
      </c>
      <c r="C246" s="173">
        <v>0</v>
      </c>
      <c r="D246" s="173"/>
      <c r="E246" s="174"/>
      <c r="F246" s="174">
        <f t="shared" si="13"/>
        <v>0</v>
      </c>
    </row>
    <row r="247" spans="1:6">
      <c r="A247" s="217">
        <v>222102</v>
      </c>
      <c r="B247" s="218" t="s">
        <v>19</v>
      </c>
      <c r="C247" s="159">
        <v>0</v>
      </c>
      <c r="D247" s="159"/>
      <c r="E247" s="174"/>
      <c r="F247" s="174">
        <f t="shared" si="13"/>
        <v>0</v>
      </c>
    </row>
    <row r="248" spans="1:6">
      <c r="A248" s="74">
        <v>2222</v>
      </c>
      <c r="B248" s="194" t="s">
        <v>20</v>
      </c>
      <c r="C248" s="52">
        <f>SUBTOTAL(9,C249:C250)</f>
        <v>3120</v>
      </c>
      <c r="D248" s="52">
        <f>SUM(D249:D250)</f>
        <v>0</v>
      </c>
      <c r="E248" s="52">
        <f>SUM(E249:E250)</f>
        <v>0</v>
      </c>
      <c r="F248" s="52">
        <f t="shared" si="13"/>
        <v>0</v>
      </c>
    </row>
    <row r="249" spans="1:6">
      <c r="A249" s="217">
        <v>222201</v>
      </c>
      <c r="B249" s="218" t="s">
        <v>309</v>
      </c>
      <c r="C249" s="173">
        <v>1920</v>
      </c>
      <c r="D249" s="174"/>
      <c r="E249" s="173"/>
      <c r="F249" s="173">
        <f t="shared" si="13"/>
        <v>0</v>
      </c>
    </row>
    <row r="250" spans="1:6">
      <c r="A250" s="217">
        <v>222202</v>
      </c>
      <c r="B250" s="218" t="s">
        <v>328</v>
      </c>
      <c r="C250" s="159">
        <v>1200</v>
      </c>
      <c r="D250" s="159"/>
      <c r="E250" s="173"/>
      <c r="F250" s="173">
        <f t="shared" si="13"/>
        <v>0</v>
      </c>
    </row>
    <row r="251" spans="1:6">
      <c r="A251" s="246">
        <v>2223</v>
      </c>
      <c r="B251" s="247" t="s">
        <v>23</v>
      </c>
      <c r="C251" s="52">
        <f>SUBTOTAL(9,C252:C253)</f>
        <v>4310</v>
      </c>
      <c r="D251" s="52">
        <f>SUM(D252:D253)</f>
        <v>0</v>
      </c>
      <c r="E251" s="52">
        <f>SUM(E252:E253)</f>
        <v>0</v>
      </c>
      <c r="F251" s="52">
        <f t="shared" si="13"/>
        <v>0</v>
      </c>
    </row>
    <row r="252" spans="1:6">
      <c r="A252" s="217">
        <v>222301</v>
      </c>
      <c r="B252" s="218" t="s">
        <v>310</v>
      </c>
      <c r="C252" s="173">
        <v>4310</v>
      </c>
      <c r="D252" s="173"/>
      <c r="E252" s="173"/>
      <c r="F252" s="173">
        <f t="shared" si="13"/>
        <v>0</v>
      </c>
    </row>
    <row r="253" spans="1:6">
      <c r="A253" s="217">
        <v>222302</v>
      </c>
      <c r="B253" s="218" t="s">
        <v>24</v>
      </c>
      <c r="C253" s="159">
        <v>0</v>
      </c>
      <c r="D253" s="159"/>
      <c r="E253" s="173"/>
      <c r="F253" s="173">
        <f t="shared" si="13"/>
        <v>0</v>
      </c>
    </row>
    <row r="254" spans="1:6">
      <c r="A254" s="246">
        <v>2224</v>
      </c>
      <c r="B254" s="194" t="s">
        <v>330</v>
      </c>
      <c r="C254" s="52">
        <f>SUBTOTAL(9,C255)</f>
        <v>3600</v>
      </c>
      <c r="D254" s="52">
        <f>SUM(D255:D258)</f>
        <v>0</v>
      </c>
      <c r="E254" s="52">
        <f>SUM(E255:E258)</f>
        <v>0</v>
      </c>
      <c r="F254" s="52">
        <f t="shared" si="13"/>
        <v>0</v>
      </c>
    </row>
    <row r="255" spans="1:6">
      <c r="A255" s="217">
        <v>222401</v>
      </c>
      <c r="B255" s="218" t="s">
        <v>343</v>
      </c>
      <c r="C255" s="173">
        <v>3600</v>
      </c>
      <c r="D255" s="173"/>
      <c r="E255" s="173"/>
      <c r="F255" s="173">
        <f t="shared" si="13"/>
        <v>0</v>
      </c>
    </row>
    <row r="256" spans="1:6">
      <c r="A256" s="217">
        <v>222403</v>
      </c>
      <c r="B256" s="218" t="s">
        <v>312</v>
      </c>
      <c r="C256" s="173"/>
      <c r="D256" s="173"/>
      <c r="E256" s="173"/>
      <c r="F256" s="173">
        <f t="shared" si="13"/>
        <v>0</v>
      </c>
    </row>
    <row r="257" spans="1:6">
      <c r="A257" s="217">
        <v>222404</v>
      </c>
      <c r="B257" s="218" t="s">
        <v>313</v>
      </c>
      <c r="C257" s="173"/>
      <c r="D257" s="173"/>
      <c r="E257" s="173"/>
      <c r="F257" s="173">
        <f t="shared" si="13"/>
        <v>0</v>
      </c>
    </row>
    <row r="258" spans="1:6">
      <c r="A258" s="217">
        <v>222405</v>
      </c>
      <c r="B258" s="218" t="s">
        <v>314</v>
      </c>
      <c r="C258" s="173"/>
      <c r="D258" s="173"/>
      <c r="E258" s="173"/>
      <c r="F258" s="173">
        <f t="shared" si="13"/>
        <v>0</v>
      </c>
    </row>
    <row r="259" spans="1:6">
      <c r="A259" s="74">
        <v>2225</v>
      </c>
      <c r="B259" s="194" t="s">
        <v>331</v>
      </c>
      <c r="C259" s="52">
        <f>SUBTOTAL(9,C260)</f>
        <v>0</v>
      </c>
      <c r="D259" s="52">
        <f>SUM(D260:D263)</f>
        <v>0</v>
      </c>
      <c r="E259" s="52">
        <f>SUM(E260:E263)</f>
        <v>0</v>
      </c>
      <c r="F259" s="52">
        <f t="shared" si="13"/>
        <v>0</v>
      </c>
    </row>
    <row r="260" spans="1:6">
      <c r="A260" s="217">
        <v>222501</v>
      </c>
      <c r="B260" s="218" t="s">
        <v>315</v>
      </c>
      <c r="C260" s="173">
        <v>0</v>
      </c>
      <c r="D260" s="173"/>
      <c r="E260" s="174"/>
      <c r="F260" s="174">
        <f t="shared" si="13"/>
        <v>0</v>
      </c>
    </row>
    <row r="261" spans="1:6">
      <c r="A261" s="217">
        <v>222502</v>
      </c>
      <c r="B261" s="218" t="s">
        <v>316</v>
      </c>
      <c r="C261" s="173"/>
      <c r="D261" s="173"/>
      <c r="E261" s="174"/>
      <c r="F261" s="174">
        <f t="shared" si="13"/>
        <v>0</v>
      </c>
    </row>
    <row r="262" spans="1:6">
      <c r="A262" s="217">
        <v>222503</v>
      </c>
      <c r="B262" s="218" t="s">
        <v>317</v>
      </c>
      <c r="C262" s="173"/>
      <c r="D262" s="173"/>
      <c r="E262" s="174"/>
      <c r="F262" s="174">
        <f t="shared" si="13"/>
        <v>0</v>
      </c>
    </row>
    <row r="263" spans="1:6">
      <c r="A263" s="217">
        <v>222504</v>
      </c>
      <c r="B263" s="218" t="s">
        <v>318</v>
      </c>
      <c r="C263" s="173"/>
      <c r="D263" s="173"/>
      <c r="E263" s="174"/>
      <c r="F263" s="174">
        <f t="shared" si="13"/>
        <v>0</v>
      </c>
    </row>
    <row r="264" spans="1:6">
      <c r="A264" s="246">
        <v>2231</v>
      </c>
      <c r="B264" s="247" t="s">
        <v>21</v>
      </c>
      <c r="C264" s="52">
        <f>SUBTOTAL(9,C265)</f>
        <v>7200</v>
      </c>
      <c r="D264" s="52">
        <f>SUM(D265:D267)</f>
        <v>0</v>
      </c>
      <c r="E264" s="52">
        <f>SUM(E265:E267)</f>
        <v>0</v>
      </c>
      <c r="F264" s="52">
        <f t="shared" si="13"/>
        <v>0</v>
      </c>
    </row>
    <row r="265" spans="1:6">
      <c r="A265" s="217">
        <v>223101</v>
      </c>
      <c r="B265" s="218" t="s">
        <v>319</v>
      </c>
      <c r="C265" s="173">
        <v>7200</v>
      </c>
      <c r="D265" s="173"/>
      <c r="E265" s="174"/>
      <c r="F265" s="174">
        <f t="shared" si="13"/>
        <v>0</v>
      </c>
    </row>
    <row r="266" spans="1:6">
      <c r="A266" s="217">
        <v>223102</v>
      </c>
      <c r="B266" s="218" t="s">
        <v>22</v>
      </c>
      <c r="C266" s="173"/>
      <c r="D266" s="173"/>
      <c r="E266" s="174"/>
      <c r="F266" s="174">
        <f t="shared" si="13"/>
        <v>0</v>
      </c>
    </row>
    <row r="267" spans="1:6">
      <c r="A267" s="217">
        <v>223103</v>
      </c>
      <c r="B267" s="218" t="s">
        <v>340</v>
      </c>
      <c r="C267" s="173"/>
      <c r="D267" s="173"/>
      <c r="E267" s="174"/>
      <c r="F267" s="174">
        <f t="shared" si="13"/>
        <v>0</v>
      </c>
    </row>
    <row r="268" spans="1:6">
      <c r="A268" s="246">
        <v>2244</v>
      </c>
      <c r="B268" s="247" t="s">
        <v>321</v>
      </c>
      <c r="C268" s="52">
        <f>SUBTOTAL(9,C269:C271)</f>
        <v>8400</v>
      </c>
      <c r="D268" s="52">
        <f>SUM(D269:D271)</f>
        <v>0</v>
      </c>
      <c r="E268" s="361">
        <f>SUM(E269:E271)</f>
        <v>0</v>
      </c>
      <c r="F268" s="361">
        <f t="shared" si="13"/>
        <v>0</v>
      </c>
    </row>
    <row r="269" spans="1:6">
      <c r="A269" s="217">
        <v>224401</v>
      </c>
      <c r="B269" s="218" t="s">
        <v>322</v>
      </c>
      <c r="C269" s="173">
        <v>6000</v>
      </c>
      <c r="D269" s="173"/>
      <c r="E269" s="173"/>
      <c r="F269" s="251">
        <f t="shared" si="13"/>
        <v>0</v>
      </c>
    </row>
    <row r="270" spans="1:6">
      <c r="A270" s="217">
        <v>224402</v>
      </c>
      <c r="B270" s="218" t="s">
        <v>323</v>
      </c>
      <c r="C270" s="173">
        <v>2400</v>
      </c>
      <c r="D270" s="173"/>
      <c r="E270" s="173"/>
      <c r="F270" s="251">
        <f>E270/12</f>
        <v>0</v>
      </c>
    </row>
    <row r="271" spans="1:6">
      <c r="A271" s="217">
        <v>224403</v>
      </c>
      <c r="B271" s="218" t="s">
        <v>324</v>
      </c>
      <c r="C271" s="54">
        <v>0</v>
      </c>
      <c r="D271" s="251"/>
      <c r="E271" s="251"/>
      <c r="F271" s="251">
        <f>E271/12</f>
        <v>0</v>
      </c>
    </row>
    <row r="272" spans="1:6">
      <c r="A272" s="246">
        <v>2281</v>
      </c>
      <c r="B272" s="247" t="s">
        <v>349</v>
      </c>
      <c r="C272" s="52">
        <f>SUBTOTAL(9,C273:C273)</f>
        <v>0</v>
      </c>
      <c r="D272" s="52">
        <f>D273</f>
        <v>0</v>
      </c>
      <c r="E272" s="52">
        <f>E273</f>
        <v>0</v>
      </c>
      <c r="F272" s="52">
        <f t="shared" si="13"/>
        <v>0</v>
      </c>
    </row>
    <row r="273" spans="1:6" ht="12.55" customHeight="1">
      <c r="A273" s="217">
        <v>228101</v>
      </c>
      <c r="B273" s="218" t="s">
        <v>325</v>
      </c>
      <c r="C273" s="173">
        <v>0</v>
      </c>
      <c r="D273" s="173"/>
      <c r="E273" s="173"/>
      <c r="F273" s="173">
        <f t="shared" si="13"/>
        <v>0</v>
      </c>
    </row>
    <row r="274" spans="1:6" ht="19.5" customHeight="1">
      <c r="A274" s="225">
        <v>10601</v>
      </c>
      <c r="B274" s="255" t="s">
        <v>295</v>
      </c>
      <c r="C274" s="169" t="s">
        <v>0</v>
      </c>
      <c r="D274" s="169" t="s">
        <v>261</v>
      </c>
      <c r="E274" s="169" t="s">
        <v>358</v>
      </c>
      <c r="F274" s="169"/>
    </row>
    <row r="275" spans="1:6">
      <c r="A275" s="234" t="s">
        <v>5</v>
      </c>
      <c r="B275" s="235" t="s">
        <v>65</v>
      </c>
      <c r="C275" s="158" t="e">
        <f>C276+C285</f>
        <v>#REF!</v>
      </c>
      <c r="D275" s="158">
        <f>D276+D285</f>
        <v>0</v>
      </c>
      <c r="E275" s="158">
        <f>E276+E285</f>
        <v>0</v>
      </c>
      <c r="F275" s="262">
        <f t="shared" si="13"/>
        <v>0</v>
      </c>
    </row>
    <row r="276" spans="1:6">
      <c r="A276" s="228">
        <v>21</v>
      </c>
      <c r="B276" s="229" t="s">
        <v>6</v>
      </c>
      <c r="C276" s="172">
        <f>C277</f>
        <v>48600</v>
      </c>
      <c r="D276" s="172">
        <f>D277</f>
        <v>0</v>
      </c>
      <c r="E276" s="172">
        <f>E277</f>
        <v>0</v>
      </c>
      <c r="F276" s="172">
        <f t="shared" si="13"/>
        <v>0</v>
      </c>
    </row>
    <row r="277" spans="1:6">
      <c r="A277" s="85">
        <v>211</v>
      </c>
      <c r="B277" s="86" t="s">
        <v>7</v>
      </c>
      <c r="C277" s="62">
        <f>C278+C280+C283</f>
        <v>48600</v>
      </c>
      <c r="D277" s="62">
        <f>D278+D280+D283</f>
        <v>0</v>
      </c>
      <c r="E277" s="62">
        <f>E278+E280+E283</f>
        <v>0</v>
      </c>
      <c r="F277" s="62">
        <f t="shared" si="13"/>
        <v>0</v>
      </c>
    </row>
    <row r="278" spans="1:6">
      <c r="A278" s="74">
        <v>2111</v>
      </c>
      <c r="B278" s="194" t="s">
        <v>8</v>
      </c>
      <c r="C278" s="52">
        <f>SUBTOTAL(9,C279)</f>
        <v>36000</v>
      </c>
      <c r="D278" s="52">
        <f>D279</f>
        <v>0</v>
      </c>
      <c r="E278" s="52">
        <f>E279</f>
        <v>0</v>
      </c>
      <c r="F278" s="52">
        <f t="shared" si="13"/>
        <v>0</v>
      </c>
    </row>
    <row r="279" spans="1:6">
      <c r="A279" s="217">
        <v>211101</v>
      </c>
      <c r="B279" s="218" t="s">
        <v>9</v>
      </c>
      <c r="C279" s="173">
        <v>36000</v>
      </c>
      <c r="D279" s="173"/>
      <c r="E279" s="173"/>
      <c r="F279" s="173">
        <f t="shared" si="13"/>
        <v>0</v>
      </c>
    </row>
    <row r="280" spans="1:6">
      <c r="A280" s="74">
        <v>2113</v>
      </c>
      <c r="B280" s="194" t="s">
        <v>10</v>
      </c>
      <c r="C280" s="52">
        <f>SUBTOTAL(9,C281:C282)</f>
        <v>12600</v>
      </c>
      <c r="D280" s="52">
        <f>SUM(D281:D282)</f>
        <v>0</v>
      </c>
      <c r="E280" s="52">
        <f>SUM(E281:E282)</f>
        <v>0</v>
      </c>
      <c r="F280" s="52">
        <f t="shared" si="13"/>
        <v>0</v>
      </c>
    </row>
    <row r="281" spans="1:6">
      <c r="A281" s="217">
        <v>211301</v>
      </c>
      <c r="B281" s="218" t="s">
        <v>11</v>
      </c>
      <c r="C281" s="173">
        <v>12600</v>
      </c>
      <c r="D281" s="173"/>
      <c r="E281" s="173"/>
      <c r="F281" s="173">
        <f t="shared" si="13"/>
        <v>0</v>
      </c>
    </row>
    <row r="282" spans="1:6">
      <c r="A282" s="217">
        <v>211308</v>
      </c>
      <c r="B282" s="218" t="s">
        <v>12</v>
      </c>
      <c r="C282" s="173">
        <v>0</v>
      </c>
      <c r="D282" s="173"/>
      <c r="E282" s="173"/>
      <c r="F282" s="173">
        <f t="shared" si="13"/>
        <v>0</v>
      </c>
    </row>
    <row r="283" spans="1:6">
      <c r="A283" s="74">
        <v>2115</v>
      </c>
      <c r="B283" s="194" t="s">
        <v>13</v>
      </c>
      <c r="C283" s="52">
        <f>SUBTOTAL(9,C284)</f>
        <v>0</v>
      </c>
      <c r="D283" s="52">
        <f>D284</f>
        <v>0</v>
      </c>
      <c r="E283" s="52">
        <f>E284</f>
        <v>0</v>
      </c>
      <c r="F283" s="52">
        <f t="shared" si="13"/>
        <v>0</v>
      </c>
    </row>
    <row r="284" spans="1:6" ht="13" customHeight="1">
      <c r="A284" s="217">
        <v>211501</v>
      </c>
      <c r="B284" s="218" t="s">
        <v>14</v>
      </c>
      <c r="C284" s="174">
        <v>0</v>
      </c>
      <c r="D284" s="174"/>
      <c r="E284" s="173"/>
      <c r="F284" s="173">
        <f t="shared" si="13"/>
        <v>0</v>
      </c>
    </row>
    <row r="285" spans="1:6" ht="15" customHeight="1">
      <c r="A285" s="228">
        <v>22</v>
      </c>
      <c r="B285" s="229" t="s">
        <v>15</v>
      </c>
      <c r="C285" s="172" t="e">
        <f>C286+#REF!+#REF!</f>
        <v>#REF!</v>
      </c>
      <c r="D285" s="172">
        <f>D286</f>
        <v>0</v>
      </c>
      <c r="E285" s="172">
        <f>E286</f>
        <v>0</v>
      </c>
      <c r="F285" s="172">
        <f t="shared" si="13"/>
        <v>0</v>
      </c>
    </row>
    <row r="286" spans="1:6">
      <c r="A286" s="85">
        <v>221</v>
      </c>
      <c r="B286" s="86" t="s">
        <v>43</v>
      </c>
      <c r="C286" s="62">
        <f>C287+C291+C294+C297+C300</f>
        <v>4200</v>
      </c>
      <c r="D286" s="62">
        <f>D287+D291+D294+D297+D300+D305+D310+D314+D317</f>
        <v>0</v>
      </c>
      <c r="E286" s="62">
        <f>E287+E291+E294+E297+E300+E305+E310+E314+E317</f>
        <v>0</v>
      </c>
      <c r="F286" s="62">
        <f t="shared" si="13"/>
        <v>0</v>
      </c>
    </row>
    <row r="287" spans="1:6">
      <c r="A287" s="74">
        <v>2211</v>
      </c>
      <c r="B287" s="194" t="s">
        <v>304</v>
      </c>
      <c r="C287" s="52">
        <f>SUBTOTAL(9,C288:C290)</f>
        <v>2400</v>
      </c>
      <c r="D287" s="52">
        <f>SUM(D288:D290)</f>
        <v>0</v>
      </c>
      <c r="E287" s="52">
        <f>SUM(E288:E290)</f>
        <v>0</v>
      </c>
      <c r="F287" s="52">
        <f t="shared" si="13"/>
        <v>0</v>
      </c>
    </row>
    <row r="288" spans="1:6">
      <c r="A288" s="268">
        <v>221101</v>
      </c>
      <c r="B288" s="269" t="s">
        <v>305</v>
      </c>
      <c r="C288" s="173">
        <v>600</v>
      </c>
      <c r="D288" s="173"/>
      <c r="E288" s="174"/>
      <c r="F288" s="173">
        <f t="shared" si="13"/>
        <v>0</v>
      </c>
    </row>
    <row r="289" spans="1:6">
      <c r="A289" s="268">
        <v>221102</v>
      </c>
      <c r="B289" s="269" t="s">
        <v>30</v>
      </c>
      <c r="C289" s="173">
        <v>600</v>
      </c>
      <c r="D289" s="173"/>
      <c r="E289" s="174"/>
      <c r="F289" s="173">
        <f t="shared" si="13"/>
        <v>0</v>
      </c>
    </row>
    <row r="290" spans="1:6">
      <c r="A290" s="217">
        <v>221103</v>
      </c>
      <c r="B290" s="218" t="s">
        <v>306</v>
      </c>
      <c r="C290" s="173">
        <v>1200</v>
      </c>
      <c r="D290" s="173"/>
      <c r="E290" s="173"/>
      <c r="F290" s="173">
        <f t="shared" si="13"/>
        <v>0</v>
      </c>
    </row>
    <row r="291" spans="1:6">
      <c r="A291" s="246">
        <v>2221</v>
      </c>
      <c r="B291" s="247" t="s">
        <v>17</v>
      </c>
      <c r="C291" s="52">
        <f>SUBTOTAL(9,C292:C293)</f>
        <v>0</v>
      </c>
      <c r="D291" s="52">
        <f>SUM(D292:D293)</f>
        <v>0</v>
      </c>
      <c r="E291" s="52">
        <f>SUM(E292:E293)</f>
        <v>0</v>
      </c>
      <c r="F291" s="52">
        <f t="shared" si="13"/>
        <v>0</v>
      </c>
    </row>
    <row r="292" spans="1:6">
      <c r="A292" s="217">
        <v>222101</v>
      </c>
      <c r="B292" s="218" t="s">
        <v>18</v>
      </c>
      <c r="C292" s="173">
        <v>0</v>
      </c>
      <c r="D292" s="173"/>
      <c r="E292" s="173"/>
      <c r="F292" s="173">
        <f t="shared" ref="F292:F318" si="14">E292/12</f>
        <v>0</v>
      </c>
    </row>
    <row r="293" spans="1:6">
      <c r="A293" s="217">
        <v>222102</v>
      </c>
      <c r="B293" s="218" t="s">
        <v>19</v>
      </c>
      <c r="C293" s="173">
        <v>0</v>
      </c>
      <c r="D293" s="174"/>
      <c r="E293" s="173"/>
      <c r="F293" s="173">
        <f t="shared" si="14"/>
        <v>0</v>
      </c>
    </row>
    <row r="294" spans="1:6">
      <c r="A294" s="74">
        <v>2222</v>
      </c>
      <c r="B294" s="194" t="s">
        <v>20</v>
      </c>
      <c r="C294" s="52">
        <f>SUBTOTAL(9,C295:C296)</f>
        <v>1200</v>
      </c>
      <c r="D294" s="52">
        <f>SUM(D295:D296)</f>
        <v>0</v>
      </c>
      <c r="E294" s="52">
        <f>SUM(E295:E296)</f>
        <v>0</v>
      </c>
      <c r="F294" s="52">
        <f t="shared" si="14"/>
        <v>0</v>
      </c>
    </row>
    <row r="295" spans="1:6">
      <c r="A295" s="217">
        <v>222201</v>
      </c>
      <c r="B295" s="218" t="s">
        <v>309</v>
      </c>
      <c r="C295" s="173">
        <v>600</v>
      </c>
      <c r="D295" s="173"/>
      <c r="E295" s="173"/>
      <c r="F295" s="173">
        <f t="shared" si="14"/>
        <v>0</v>
      </c>
    </row>
    <row r="296" spans="1:6">
      <c r="A296" s="217">
        <v>222202</v>
      </c>
      <c r="B296" s="218" t="s">
        <v>328</v>
      </c>
      <c r="C296" s="173">
        <v>600</v>
      </c>
      <c r="D296" s="173"/>
      <c r="E296" s="173"/>
      <c r="F296" s="173">
        <f t="shared" si="14"/>
        <v>0</v>
      </c>
    </row>
    <row r="297" spans="1:6">
      <c r="A297" s="246">
        <v>2223</v>
      </c>
      <c r="B297" s="247" t="s">
        <v>23</v>
      </c>
      <c r="C297" s="52">
        <f>SUBTOTAL(9,C298:C299)</f>
        <v>0</v>
      </c>
      <c r="D297" s="52">
        <f>SUM(D298:D299)</f>
        <v>0</v>
      </c>
      <c r="E297" s="52">
        <f>SUM(E298:E299)</f>
        <v>0</v>
      </c>
      <c r="F297" s="52">
        <f t="shared" si="14"/>
        <v>0</v>
      </c>
    </row>
    <row r="298" spans="1:6">
      <c r="A298" s="217">
        <v>222301</v>
      </c>
      <c r="B298" s="218" t="s">
        <v>310</v>
      </c>
      <c r="C298" s="173">
        <v>0</v>
      </c>
      <c r="D298" s="173"/>
      <c r="E298" s="173"/>
      <c r="F298" s="175">
        <f t="shared" si="14"/>
        <v>0</v>
      </c>
    </row>
    <row r="299" spans="1:6">
      <c r="A299" s="217">
        <v>222302</v>
      </c>
      <c r="B299" s="218" t="s">
        <v>24</v>
      </c>
      <c r="C299" s="173">
        <v>0</v>
      </c>
      <c r="D299" s="173"/>
      <c r="E299" s="175"/>
      <c r="F299" s="175">
        <f t="shared" si="14"/>
        <v>0</v>
      </c>
    </row>
    <row r="300" spans="1:6">
      <c r="A300" s="246">
        <v>2224</v>
      </c>
      <c r="B300" s="194" t="s">
        <v>330</v>
      </c>
      <c r="C300" s="52">
        <f>SUBTOTAL(9,C301)</f>
        <v>600</v>
      </c>
      <c r="D300" s="52">
        <f>SUM(D301:D304)</f>
        <v>0</v>
      </c>
      <c r="E300" s="52">
        <f>SUM(E301:E304)</f>
        <v>0</v>
      </c>
      <c r="F300" s="52">
        <f t="shared" si="14"/>
        <v>0</v>
      </c>
    </row>
    <row r="301" spans="1:6">
      <c r="A301" s="217">
        <v>222401</v>
      </c>
      <c r="B301" s="218" t="s">
        <v>343</v>
      </c>
      <c r="C301" s="173">
        <v>600</v>
      </c>
      <c r="D301" s="173"/>
      <c r="E301" s="173"/>
      <c r="F301" s="173">
        <f t="shared" si="14"/>
        <v>0</v>
      </c>
    </row>
    <row r="302" spans="1:6">
      <c r="A302" s="217">
        <v>222403</v>
      </c>
      <c r="B302" s="218" t="s">
        <v>312</v>
      </c>
      <c r="C302" s="173"/>
      <c r="D302" s="173"/>
      <c r="E302" s="173"/>
      <c r="F302" s="173">
        <f t="shared" si="14"/>
        <v>0</v>
      </c>
    </row>
    <row r="303" spans="1:6">
      <c r="A303" s="217">
        <v>222404</v>
      </c>
      <c r="B303" s="218" t="s">
        <v>313</v>
      </c>
      <c r="C303" s="173"/>
      <c r="D303" s="173"/>
      <c r="E303" s="173"/>
      <c r="F303" s="173">
        <f t="shared" si="14"/>
        <v>0</v>
      </c>
    </row>
    <row r="304" spans="1:6">
      <c r="A304" s="217">
        <v>222405</v>
      </c>
      <c r="B304" s="218" t="s">
        <v>314</v>
      </c>
      <c r="C304" s="173"/>
      <c r="D304" s="173"/>
      <c r="E304" s="173"/>
      <c r="F304" s="173">
        <f t="shared" si="14"/>
        <v>0</v>
      </c>
    </row>
    <row r="305" spans="1:6">
      <c r="A305" s="74">
        <v>2225</v>
      </c>
      <c r="B305" s="194" t="s">
        <v>331</v>
      </c>
      <c r="C305" s="52">
        <f>SUBTOTAL(9,C306:C306)</f>
        <v>1200</v>
      </c>
      <c r="D305" s="52">
        <f>SUM(D306:D309)</f>
        <v>0</v>
      </c>
      <c r="E305" s="52">
        <f>SUM(E306:E309)</f>
        <v>0</v>
      </c>
      <c r="F305" s="52">
        <f t="shared" si="14"/>
        <v>0</v>
      </c>
    </row>
    <row r="306" spans="1:6">
      <c r="A306" s="217">
        <v>222501</v>
      </c>
      <c r="B306" s="218" t="s">
        <v>315</v>
      </c>
      <c r="C306" s="173">
        <v>1200</v>
      </c>
      <c r="D306" s="173"/>
      <c r="E306" s="173"/>
      <c r="F306" s="173">
        <f t="shared" si="14"/>
        <v>0</v>
      </c>
    </row>
    <row r="307" spans="1:6">
      <c r="A307" s="217">
        <v>222502</v>
      </c>
      <c r="B307" s="218" t="s">
        <v>316</v>
      </c>
      <c r="C307" s="173"/>
      <c r="D307" s="173"/>
      <c r="E307" s="173"/>
      <c r="F307" s="173">
        <f t="shared" si="14"/>
        <v>0</v>
      </c>
    </row>
    <row r="308" spans="1:6">
      <c r="A308" s="217">
        <v>222503</v>
      </c>
      <c r="B308" s="218" t="s">
        <v>317</v>
      </c>
      <c r="C308" s="173"/>
      <c r="D308" s="173"/>
      <c r="E308" s="173"/>
      <c r="F308" s="173">
        <f t="shared" si="14"/>
        <v>0</v>
      </c>
    </row>
    <row r="309" spans="1:6">
      <c r="A309" s="217">
        <v>222504</v>
      </c>
      <c r="B309" s="218" t="s">
        <v>318</v>
      </c>
      <c r="C309" s="173"/>
      <c r="D309" s="173"/>
      <c r="E309" s="173"/>
      <c r="F309" s="173">
        <f t="shared" si="14"/>
        <v>0</v>
      </c>
    </row>
    <row r="310" spans="1:6">
      <c r="A310" s="246">
        <v>2231</v>
      </c>
      <c r="B310" s="247" t="s">
        <v>21</v>
      </c>
      <c r="C310" s="52">
        <f>SUBTOTAL(9,C311:C313)</f>
        <v>5400</v>
      </c>
      <c r="D310" s="52">
        <f>SUM(D311:D313)</f>
        <v>0</v>
      </c>
      <c r="E310" s="52">
        <f>SUM(E311:E313)</f>
        <v>0</v>
      </c>
      <c r="F310" s="52">
        <f t="shared" si="14"/>
        <v>0</v>
      </c>
    </row>
    <row r="311" spans="1:6">
      <c r="A311" s="217">
        <v>223101</v>
      </c>
      <c r="B311" s="218" t="s">
        <v>373</v>
      </c>
      <c r="C311" s="173">
        <f>2400+600</f>
        <v>3000</v>
      </c>
      <c r="D311" s="174"/>
      <c r="E311" s="174"/>
      <c r="F311" s="174">
        <f t="shared" si="14"/>
        <v>0</v>
      </c>
    </row>
    <row r="312" spans="1:6">
      <c r="A312" s="217">
        <v>223102</v>
      </c>
      <c r="B312" s="218" t="s">
        <v>22</v>
      </c>
      <c r="C312" s="173"/>
      <c r="D312" s="174"/>
      <c r="E312" s="174"/>
      <c r="F312" s="174">
        <f t="shared" si="14"/>
        <v>0</v>
      </c>
    </row>
    <row r="313" spans="1:6">
      <c r="A313" s="217">
        <v>223103</v>
      </c>
      <c r="B313" s="218" t="s">
        <v>340</v>
      </c>
      <c r="C313" s="173">
        <v>2400</v>
      </c>
      <c r="D313" s="174"/>
      <c r="E313" s="174"/>
      <c r="F313" s="174">
        <f t="shared" si="14"/>
        <v>0</v>
      </c>
    </row>
    <row r="314" spans="1:6">
      <c r="A314" s="246">
        <v>2244</v>
      </c>
      <c r="B314" s="247" t="s">
        <v>321</v>
      </c>
      <c r="C314" s="52">
        <f>SUBTOTAL(9,C315:C318)</f>
        <v>0</v>
      </c>
      <c r="D314" s="52">
        <f>SUM(D315:D316)</f>
        <v>0</v>
      </c>
      <c r="E314" s="52">
        <f>SUM(E315:E316)</f>
        <v>0</v>
      </c>
      <c r="F314" s="52">
        <f t="shared" si="14"/>
        <v>0</v>
      </c>
    </row>
    <row r="315" spans="1:6">
      <c r="A315" s="217">
        <v>224401</v>
      </c>
      <c r="B315" s="218" t="s">
        <v>344</v>
      </c>
      <c r="C315" s="173">
        <v>0</v>
      </c>
      <c r="D315" s="174"/>
      <c r="E315" s="173"/>
      <c r="F315" s="174">
        <f t="shared" si="14"/>
        <v>0</v>
      </c>
    </row>
    <row r="316" spans="1:6">
      <c r="A316" s="217">
        <v>224402</v>
      </c>
      <c r="B316" s="218" t="s">
        <v>323</v>
      </c>
      <c r="C316" s="174">
        <v>0</v>
      </c>
      <c r="D316" s="174"/>
      <c r="E316" s="174"/>
      <c r="F316" s="174">
        <f t="shared" si="14"/>
        <v>0</v>
      </c>
    </row>
    <row r="317" spans="1:6">
      <c r="A317" s="246">
        <v>2281</v>
      </c>
      <c r="B317" s="247" t="s">
        <v>348</v>
      </c>
      <c r="C317" s="52">
        <f>SUBTOTAL(9,C318:C318)</f>
        <v>0</v>
      </c>
      <c r="D317" s="52">
        <f>D318</f>
        <v>0</v>
      </c>
      <c r="E317" s="52">
        <f>E318</f>
        <v>0</v>
      </c>
      <c r="F317" s="52">
        <f t="shared" si="14"/>
        <v>0</v>
      </c>
    </row>
    <row r="318" spans="1:6" ht="11.5" customHeight="1">
      <c r="A318" s="217">
        <v>228101</v>
      </c>
      <c r="B318" s="218" t="s">
        <v>325</v>
      </c>
      <c r="C318" s="173">
        <v>0</v>
      </c>
      <c r="D318" s="173"/>
      <c r="E318" s="173"/>
      <c r="F318" s="173">
        <f t="shared" si="14"/>
        <v>0</v>
      </c>
    </row>
    <row r="319" spans="1:6" ht="24" customHeight="1">
      <c r="A319" s="225">
        <v>10701</v>
      </c>
      <c r="B319" s="255" t="s">
        <v>299</v>
      </c>
      <c r="C319" s="169" t="s">
        <v>0</v>
      </c>
      <c r="D319" s="169" t="s">
        <v>261</v>
      </c>
      <c r="E319" s="169" t="s">
        <v>358</v>
      </c>
      <c r="F319" s="169" t="s">
        <v>360</v>
      </c>
    </row>
    <row r="320" spans="1:6">
      <c r="A320" s="234" t="s">
        <v>5</v>
      </c>
      <c r="B320" s="235" t="s">
        <v>65</v>
      </c>
      <c r="C320" s="158" t="e">
        <f>C321+C330</f>
        <v>#REF!</v>
      </c>
      <c r="D320" s="279">
        <v>0</v>
      </c>
      <c r="E320" s="279">
        <v>0</v>
      </c>
      <c r="F320" s="279">
        <f>E320/12</f>
        <v>0</v>
      </c>
    </row>
    <row r="321" spans="1:6">
      <c r="A321" s="228">
        <v>21</v>
      </c>
      <c r="B321" s="229" t="s">
        <v>6</v>
      </c>
      <c r="C321" s="172">
        <f>C322</f>
        <v>48600</v>
      </c>
      <c r="D321" s="224">
        <v>0</v>
      </c>
      <c r="E321" s="224"/>
      <c r="F321" s="224">
        <f t="shared" ref="F321:F363" si="15">E321/12</f>
        <v>0</v>
      </c>
    </row>
    <row r="322" spans="1:6">
      <c r="A322" s="85">
        <v>211</v>
      </c>
      <c r="B322" s="86" t="s">
        <v>7</v>
      </c>
      <c r="C322" s="62">
        <f>C323+C325+C328</f>
        <v>48600</v>
      </c>
      <c r="D322" s="223">
        <v>0</v>
      </c>
      <c r="E322" s="223"/>
      <c r="F322" s="223">
        <f t="shared" si="15"/>
        <v>0</v>
      </c>
    </row>
    <row r="323" spans="1:6">
      <c r="A323" s="74">
        <v>2111</v>
      </c>
      <c r="B323" s="194" t="s">
        <v>8</v>
      </c>
      <c r="C323" s="52">
        <f>SUBTOTAL(9,C324)</f>
        <v>36000</v>
      </c>
      <c r="D323" s="222">
        <v>0</v>
      </c>
      <c r="E323" s="222"/>
      <c r="F323" s="222">
        <f t="shared" si="15"/>
        <v>0</v>
      </c>
    </row>
    <row r="324" spans="1:6">
      <c r="A324" s="217">
        <v>211101</v>
      </c>
      <c r="B324" s="218" t="s">
        <v>9</v>
      </c>
      <c r="C324" s="173">
        <v>36000</v>
      </c>
      <c r="D324" s="221">
        <v>0</v>
      </c>
      <c r="E324" s="173"/>
      <c r="F324" s="173">
        <f t="shared" si="15"/>
        <v>0</v>
      </c>
    </row>
    <row r="325" spans="1:6">
      <c r="A325" s="74">
        <v>2113</v>
      </c>
      <c r="B325" s="194" t="s">
        <v>10</v>
      </c>
      <c r="C325" s="52">
        <f>SUBTOTAL(9,C326:C327)</f>
        <v>12600</v>
      </c>
      <c r="D325" s="222">
        <v>0</v>
      </c>
      <c r="E325" s="222"/>
      <c r="F325" s="222">
        <f t="shared" si="15"/>
        <v>0</v>
      </c>
    </row>
    <row r="326" spans="1:6">
      <c r="A326" s="217">
        <v>211301</v>
      </c>
      <c r="B326" s="218" t="s">
        <v>11</v>
      </c>
      <c r="C326" s="173">
        <v>12600</v>
      </c>
      <c r="D326" s="221">
        <v>0</v>
      </c>
      <c r="E326" s="221"/>
      <c r="F326" s="174">
        <f t="shared" si="15"/>
        <v>0</v>
      </c>
    </row>
    <row r="327" spans="1:6">
      <c r="A327" s="217">
        <v>211308</v>
      </c>
      <c r="B327" s="218" t="s">
        <v>12</v>
      </c>
      <c r="C327" s="173">
        <v>0</v>
      </c>
      <c r="D327" s="221">
        <v>0</v>
      </c>
      <c r="E327" s="174"/>
      <c r="F327" s="174">
        <f t="shared" si="15"/>
        <v>0</v>
      </c>
    </row>
    <row r="328" spans="1:6">
      <c r="A328" s="74">
        <v>2115</v>
      </c>
      <c r="B328" s="194" t="s">
        <v>13</v>
      </c>
      <c r="C328" s="52">
        <f>SUBTOTAL(9,C329)</f>
        <v>0</v>
      </c>
      <c r="D328" s="222">
        <v>0</v>
      </c>
      <c r="E328" s="222"/>
      <c r="F328" s="222">
        <f t="shared" si="15"/>
        <v>0</v>
      </c>
    </row>
    <row r="329" spans="1:6">
      <c r="A329" s="217">
        <v>211501</v>
      </c>
      <c r="B329" s="218" t="s">
        <v>14</v>
      </c>
      <c r="C329" s="174">
        <v>0</v>
      </c>
      <c r="D329" s="216">
        <v>0</v>
      </c>
      <c r="E329" s="174"/>
      <c r="F329" s="174">
        <f t="shared" si="15"/>
        <v>0</v>
      </c>
    </row>
    <row r="330" spans="1:6">
      <c r="A330" s="228">
        <v>22</v>
      </c>
      <c r="B330" s="229" t="s">
        <v>15</v>
      </c>
      <c r="C330" s="172" t="e">
        <f>C331+#REF!+#REF!</f>
        <v>#REF!</v>
      </c>
      <c r="D330" s="224">
        <v>0</v>
      </c>
      <c r="E330" s="224">
        <v>0</v>
      </c>
      <c r="F330" s="224">
        <f t="shared" si="15"/>
        <v>0</v>
      </c>
    </row>
    <row r="331" spans="1:6">
      <c r="A331" s="85">
        <v>221</v>
      </c>
      <c r="B331" s="86" t="s">
        <v>43</v>
      </c>
      <c r="C331" s="62">
        <f>C332+C336+C339+C342+C345</f>
        <v>4200</v>
      </c>
      <c r="D331" s="223">
        <v>0</v>
      </c>
      <c r="E331" s="223"/>
      <c r="F331" s="223">
        <f t="shared" si="15"/>
        <v>0</v>
      </c>
    </row>
    <row r="332" spans="1:6">
      <c r="A332" s="74">
        <v>2211</v>
      </c>
      <c r="B332" s="194" t="s">
        <v>304</v>
      </c>
      <c r="C332" s="52">
        <f>SUBTOTAL(9,C333:C335)</f>
        <v>2400</v>
      </c>
      <c r="D332" s="222">
        <v>0</v>
      </c>
      <c r="E332" s="222"/>
      <c r="F332" s="222">
        <f t="shared" si="15"/>
        <v>0</v>
      </c>
    </row>
    <row r="333" spans="1:6">
      <c r="A333" s="268">
        <v>221101</v>
      </c>
      <c r="B333" s="269" t="s">
        <v>305</v>
      </c>
      <c r="C333" s="173">
        <v>600</v>
      </c>
      <c r="D333" s="221">
        <v>0</v>
      </c>
      <c r="E333" s="173"/>
      <c r="F333" s="221">
        <f t="shared" si="15"/>
        <v>0</v>
      </c>
    </row>
    <row r="334" spans="1:6">
      <c r="A334" s="268">
        <v>221102</v>
      </c>
      <c r="B334" s="269" t="s">
        <v>30</v>
      </c>
      <c r="C334" s="173">
        <v>600</v>
      </c>
      <c r="D334" s="221">
        <v>0</v>
      </c>
      <c r="E334" s="173"/>
      <c r="F334" s="221">
        <f t="shared" si="15"/>
        <v>0</v>
      </c>
    </row>
    <row r="335" spans="1:6">
      <c r="A335" s="217">
        <v>221103</v>
      </c>
      <c r="B335" s="218" t="s">
        <v>306</v>
      </c>
      <c r="C335" s="173">
        <v>1200</v>
      </c>
      <c r="D335" s="221">
        <v>0</v>
      </c>
      <c r="E335" s="221"/>
      <c r="F335" s="221">
        <f t="shared" si="15"/>
        <v>0</v>
      </c>
    </row>
    <row r="336" spans="1:6">
      <c r="A336" s="246">
        <v>2221</v>
      </c>
      <c r="B336" s="247" t="s">
        <v>17</v>
      </c>
      <c r="C336" s="52">
        <f>SUBTOTAL(9,C337:C338)</f>
        <v>0</v>
      </c>
      <c r="D336" s="222">
        <v>0</v>
      </c>
      <c r="E336" s="222"/>
      <c r="F336" s="222">
        <f t="shared" si="15"/>
        <v>0</v>
      </c>
    </row>
    <row r="337" spans="1:6">
      <c r="A337" s="217">
        <v>222101</v>
      </c>
      <c r="B337" s="218" t="s">
        <v>18</v>
      </c>
      <c r="C337" s="173">
        <v>0</v>
      </c>
      <c r="D337" s="221">
        <v>0</v>
      </c>
      <c r="E337" s="173"/>
      <c r="F337" s="175">
        <f t="shared" si="15"/>
        <v>0</v>
      </c>
    </row>
    <row r="338" spans="1:6">
      <c r="A338" s="217">
        <v>222102</v>
      </c>
      <c r="B338" s="218" t="s">
        <v>19</v>
      </c>
      <c r="C338" s="173">
        <v>0</v>
      </c>
      <c r="D338" s="221">
        <v>0</v>
      </c>
      <c r="E338" s="175"/>
      <c r="F338" s="175">
        <f t="shared" si="15"/>
        <v>0</v>
      </c>
    </row>
    <row r="339" spans="1:6">
      <c r="A339" s="74">
        <v>2222</v>
      </c>
      <c r="B339" s="194" t="s">
        <v>20</v>
      </c>
      <c r="C339" s="52">
        <f>SUBTOTAL(9,C340:C341)</f>
        <v>1200</v>
      </c>
      <c r="D339" s="222">
        <v>0</v>
      </c>
      <c r="E339" s="52"/>
      <c r="F339" s="52">
        <f t="shared" si="15"/>
        <v>0</v>
      </c>
    </row>
    <row r="340" spans="1:6">
      <c r="A340" s="217">
        <v>222201</v>
      </c>
      <c r="B340" s="218" t="s">
        <v>309</v>
      </c>
      <c r="C340" s="173">
        <v>600</v>
      </c>
      <c r="D340" s="221">
        <v>0</v>
      </c>
      <c r="E340" s="175"/>
      <c r="F340" s="221">
        <f t="shared" si="15"/>
        <v>0</v>
      </c>
    </row>
    <row r="341" spans="1:6">
      <c r="A341" s="217">
        <v>222202</v>
      </c>
      <c r="B341" s="218" t="s">
        <v>328</v>
      </c>
      <c r="C341" s="173">
        <v>600</v>
      </c>
      <c r="D341" s="221">
        <v>0</v>
      </c>
      <c r="E341" s="221"/>
      <c r="F341" s="221">
        <f t="shared" si="15"/>
        <v>0</v>
      </c>
    </row>
    <row r="342" spans="1:6">
      <c r="A342" s="246">
        <v>2223</v>
      </c>
      <c r="B342" s="247" t="s">
        <v>23</v>
      </c>
      <c r="C342" s="52">
        <f>SUBTOTAL(9,C343:C344)</f>
        <v>0</v>
      </c>
      <c r="D342" s="222">
        <v>0</v>
      </c>
      <c r="E342" s="52"/>
      <c r="F342" s="52">
        <f t="shared" si="15"/>
        <v>0</v>
      </c>
    </row>
    <row r="343" spans="1:6">
      <c r="A343" s="217">
        <v>222301</v>
      </c>
      <c r="B343" s="218" t="s">
        <v>310</v>
      </c>
      <c r="C343" s="173">
        <v>0</v>
      </c>
      <c r="D343" s="221">
        <v>0</v>
      </c>
      <c r="E343" s="173"/>
      <c r="F343" s="173">
        <f t="shared" si="15"/>
        <v>0</v>
      </c>
    </row>
    <row r="344" spans="1:6">
      <c r="A344" s="217">
        <v>222302</v>
      </c>
      <c r="B344" s="218" t="s">
        <v>24</v>
      </c>
      <c r="C344" s="173">
        <v>0</v>
      </c>
      <c r="D344" s="221">
        <v>0</v>
      </c>
      <c r="E344" s="173"/>
      <c r="F344" s="173">
        <f t="shared" si="15"/>
        <v>0</v>
      </c>
    </row>
    <row r="345" spans="1:6">
      <c r="A345" s="246">
        <v>2224</v>
      </c>
      <c r="B345" s="194" t="s">
        <v>330</v>
      </c>
      <c r="C345" s="52">
        <f>SUBTOTAL(9,C346)</f>
        <v>600</v>
      </c>
      <c r="D345" s="222"/>
      <c r="E345" s="222"/>
      <c r="F345" s="222">
        <f t="shared" si="15"/>
        <v>0</v>
      </c>
    </row>
    <row r="346" spans="1:6">
      <c r="A346" s="217">
        <v>222401</v>
      </c>
      <c r="B346" s="218" t="s">
        <v>343</v>
      </c>
      <c r="C346" s="173">
        <v>600</v>
      </c>
      <c r="D346" s="221">
        <v>0</v>
      </c>
      <c r="E346" s="221"/>
      <c r="F346" s="221">
        <f t="shared" si="15"/>
        <v>0</v>
      </c>
    </row>
    <row r="347" spans="1:6">
      <c r="A347" s="217">
        <v>222403</v>
      </c>
      <c r="B347" s="218" t="s">
        <v>312</v>
      </c>
      <c r="C347" s="173"/>
      <c r="D347" s="221"/>
      <c r="E347" s="221"/>
      <c r="F347" s="221">
        <f t="shared" si="15"/>
        <v>0</v>
      </c>
    </row>
    <row r="348" spans="1:6">
      <c r="A348" s="217">
        <v>222404</v>
      </c>
      <c r="B348" s="218" t="s">
        <v>313</v>
      </c>
      <c r="C348" s="173"/>
      <c r="D348" s="221"/>
      <c r="E348" s="221"/>
      <c r="F348" s="221">
        <f t="shared" si="15"/>
        <v>0</v>
      </c>
    </row>
    <row r="349" spans="1:6">
      <c r="A349" s="217">
        <v>222405</v>
      </c>
      <c r="B349" s="218" t="s">
        <v>314</v>
      </c>
      <c r="C349" s="173"/>
      <c r="D349" s="221"/>
      <c r="E349" s="221"/>
      <c r="F349" s="221">
        <f t="shared" si="15"/>
        <v>0</v>
      </c>
    </row>
    <row r="350" spans="1:6">
      <c r="A350" s="74">
        <v>2225</v>
      </c>
      <c r="B350" s="194" t="s">
        <v>331</v>
      </c>
      <c r="C350" s="52">
        <f>SUBTOTAL(9,C351:C351)</f>
        <v>1200</v>
      </c>
      <c r="D350" s="222">
        <v>0</v>
      </c>
      <c r="E350" s="222"/>
      <c r="F350" s="222">
        <f t="shared" si="15"/>
        <v>0</v>
      </c>
    </row>
    <row r="351" spans="1:6">
      <c r="A351" s="217">
        <v>222501</v>
      </c>
      <c r="B351" s="218" t="s">
        <v>315</v>
      </c>
      <c r="C351" s="173">
        <v>1200</v>
      </c>
      <c r="D351" s="221">
        <v>0</v>
      </c>
      <c r="E351" s="221"/>
      <c r="F351" s="221">
        <f t="shared" si="15"/>
        <v>0</v>
      </c>
    </row>
    <row r="352" spans="1:6">
      <c r="A352" s="217">
        <v>222502</v>
      </c>
      <c r="B352" s="218" t="s">
        <v>316</v>
      </c>
      <c r="C352" s="173"/>
      <c r="D352" s="221"/>
      <c r="E352" s="221"/>
      <c r="F352" s="221">
        <f t="shared" si="15"/>
        <v>0</v>
      </c>
    </row>
    <row r="353" spans="1:6">
      <c r="A353" s="217">
        <v>222503</v>
      </c>
      <c r="B353" s="218" t="s">
        <v>317</v>
      </c>
      <c r="C353" s="173"/>
      <c r="D353" s="221"/>
      <c r="E353" s="221"/>
      <c r="F353" s="221">
        <f t="shared" si="15"/>
        <v>0</v>
      </c>
    </row>
    <row r="354" spans="1:6">
      <c r="A354" s="217">
        <v>222504</v>
      </c>
      <c r="B354" s="218" t="s">
        <v>318</v>
      </c>
      <c r="C354" s="173"/>
      <c r="D354" s="221"/>
      <c r="E354" s="221"/>
      <c r="F354" s="221">
        <f t="shared" si="15"/>
        <v>0</v>
      </c>
    </row>
    <row r="355" spans="1:6">
      <c r="A355" s="246">
        <v>2231</v>
      </c>
      <c r="B355" s="247" t="s">
        <v>21</v>
      </c>
      <c r="C355" s="52">
        <f>SUBTOTAL(9,C356:C358)</f>
        <v>5400</v>
      </c>
      <c r="D355" s="222">
        <v>0</v>
      </c>
      <c r="E355" s="222"/>
      <c r="F355" s="222">
        <f t="shared" si="15"/>
        <v>0</v>
      </c>
    </row>
    <row r="356" spans="1:6">
      <c r="A356" s="217">
        <v>223101</v>
      </c>
      <c r="B356" s="218" t="s">
        <v>319</v>
      </c>
      <c r="C356" s="173">
        <f>2400+600</f>
        <v>3000</v>
      </c>
      <c r="D356" s="221">
        <v>0</v>
      </c>
      <c r="E356" s="221"/>
      <c r="F356" s="173">
        <f t="shared" si="15"/>
        <v>0</v>
      </c>
    </row>
    <row r="357" spans="1:6">
      <c r="A357" s="217">
        <v>223102</v>
      </c>
      <c r="B357" s="218" t="s">
        <v>22</v>
      </c>
      <c r="C357" s="173"/>
      <c r="D357" s="221"/>
      <c r="E357" s="221"/>
      <c r="F357" s="173">
        <f t="shared" si="15"/>
        <v>0</v>
      </c>
    </row>
    <row r="358" spans="1:6">
      <c r="A358" s="217">
        <v>223103</v>
      </c>
      <c r="B358" s="218" t="s">
        <v>340</v>
      </c>
      <c r="C358" s="173">
        <v>2400</v>
      </c>
      <c r="D358" s="221">
        <v>0</v>
      </c>
      <c r="E358" s="173">
        <v>0</v>
      </c>
      <c r="F358" s="173">
        <f t="shared" si="15"/>
        <v>0</v>
      </c>
    </row>
    <row r="359" spans="1:6">
      <c r="A359" s="246">
        <v>2244</v>
      </c>
      <c r="B359" s="247" t="s">
        <v>321</v>
      </c>
      <c r="C359" s="52">
        <f>SUBTOTAL(9,C360:C363)</f>
        <v>0</v>
      </c>
      <c r="D359" s="222">
        <v>0</v>
      </c>
      <c r="E359" s="222">
        <v>0</v>
      </c>
      <c r="F359" s="222">
        <f t="shared" si="15"/>
        <v>0</v>
      </c>
    </row>
    <row r="360" spans="1:6">
      <c r="A360" s="217">
        <v>224401</v>
      </c>
      <c r="B360" s="218" t="s">
        <v>344</v>
      </c>
      <c r="C360" s="173">
        <v>0</v>
      </c>
      <c r="D360" s="221">
        <v>0</v>
      </c>
      <c r="E360" s="221">
        <v>0</v>
      </c>
      <c r="F360" s="221">
        <f t="shared" si="15"/>
        <v>0</v>
      </c>
    </row>
    <row r="361" spans="1:6">
      <c r="A361" s="217">
        <v>224402</v>
      </c>
      <c r="B361" s="218" t="s">
        <v>323</v>
      </c>
      <c r="C361" s="174">
        <v>0</v>
      </c>
      <c r="D361" s="216">
        <v>0</v>
      </c>
      <c r="E361" s="173">
        <v>0</v>
      </c>
      <c r="F361" s="221">
        <f t="shared" si="15"/>
        <v>0</v>
      </c>
    </row>
    <row r="362" spans="1:6">
      <c r="A362" s="246">
        <v>2281</v>
      </c>
      <c r="B362" s="247" t="s">
        <v>349</v>
      </c>
      <c r="C362" s="174"/>
      <c r="D362" s="222"/>
      <c r="E362" s="222"/>
      <c r="F362" s="222">
        <f t="shared" si="15"/>
        <v>0</v>
      </c>
    </row>
    <row r="363" spans="1:6" ht="13.5" customHeight="1">
      <c r="A363" s="217">
        <v>228101</v>
      </c>
      <c r="B363" s="218" t="s">
        <v>325</v>
      </c>
      <c r="C363" s="174"/>
      <c r="D363" s="216"/>
      <c r="E363" s="173"/>
      <c r="F363" s="173">
        <f t="shared" si="15"/>
        <v>0</v>
      </c>
    </row>
    <row r="364" spans="1:6" ht="24.75" customHeight="1">
      <c r="A364" s="225">
        <v>10801</v>
      </c>
      <c r="B364" s="255" t="s">
        <v>291</v>
      </c>
      <c r="C364" s="169" t="s">
        <v>0</v>
      </c>
      <c r="D364" s="169" t="s">
        <v>261</v>
      </c>
      <c r="E364" s="169" t="s">
        <v>358</v>
      </c>
      <c r="F364" s="169" t="s">
        <v>360</v>
      </c>
    </row>
    <row r="365" spans="1:6">
      <c r="A365" s="234" t="s">
        <v>5</v>
      </c>
      <c r="B365" s="235" t="s">
        <v>65</v>
      </c>
      <c r="C365" s="158" t="e">
        <f>C366+C375</f>
        <v>#REF!</v>
      </c>
      <c r="D365" s="279"/>
      <c r="E365" s="279"/>
      <c r="F365" s="279"/>
    </row>
    <row r="366" spans="1:6">
      <c r="A366" s="228">
        <v>21</v>
      </c>
      <c r="B366" s="229" t="s">
        <v>6</v>
      </c>
      <c r="C366" s="172">
        <f>C367</f>
        <v>48600</v>
      </c>
      <c r="D366" s="224"/>
      <c r="E366" s="224"/>
      <c r="F366" s="224"/>
    </row>
    <row r="367" spans="1:6">
      <c r="A367" s="85">
        <v>211</v>
      </c>
      <c r="B367" s="86" t="s">
        <v>7</v>
      </c>
      <c r="C367" s="62">
        <f>C368+C370+C373</f>
        <v>48600</v>
      </c>
      <c r="D367" s="223"/>
      <c r="E367" s="223"/>
      <c r="F367" s="223"/>
    </row>
    <row r="368" spans="1:6">
      <c r="A368" s="74">
        <v>2111</v>
      </c>
      <c r="B368" s="194" t="s">
        <v>8</v>
      </c>
      <c r="C368" s="52">
        <f>SUBTOTAL(9,C369)</f>
        <v>36000</v>
      </c>
      <c r="D368" s="222"/>
      <c r="E368" s="222"/>
      <c r="F368" s="222"/>
    </row>
    <row r="369" spans="1:6">
      <c r="A369" s="217">
        <v>211101</v>
      </c>
      <c r="B369" s="218" t="s">
        <v>9</v>
      </c>
      <c r="C369" s="173">
        <v>36000</v>
      </c>
      <c r="D369" s="221"/>
      <c r="E369" s="174"/>
      <c r="F369" s="174"/>
    </row>
    <row r="370" spans="1:6">
      <c r="A370" s="74">
        <v>2113</v>
      </c>
      <c r="B370" s="194" t="s">
        <v>10</v>
      </c>
      <c r="C370" s="52">
        <f>SUBTOTAL(9,C371:C372)</f>
        <v>12600</v>
      </c>
      <c r="D370" s="222"/>
      <c r="E370" s="222"/>
      <c r="F370" s="222"/>
    </row>
    <row r="371" spans="1:6">
      <c r="A371" s="217">
        <v>211301</v>
      </c>
      <c r="B371" s="218" t="s">
        <v>11</v>
      </c>
      <c r="C371" s="173">
        <v>12600</v>
      </c>
      <c r="D371" s="221"/>
      <c r="E371" s="174"/>
      <c r="F371" s="174"/>
    </row>
    <row r="372" spans="1:6">
      <c r="A372" s="217">
        <v>211308</v>
      </c>
      <c r="B372" s="218" t="s">
        <v>12</v>
      </c>
      <c r="C372" s="173">
        <v>0</v>
      </c>
      <c r="D372" s="221"/>
      <c r="E372" s="221"/>
      <c r="F372" s="221"/>
    </row>
    <row r="373" spans="1:6">
      <c r="A373" s="74">
        <v>2115</v>
      </c>
      <c r="B373" s="194" t="s">
        <v>13</v>
      </c>
      <c r="C373" s="52">
        <f>SUBTOTAL(9,C374)</f>
        <v>0</v>
      </c>
      <c r="D373" s="222"/>
      <c r="E373" s="222"/>
      <c r="F373" s="222"/>
    </row>
    <row r="374" spans="1:6" ht="20.25" customHeight="1">
      <c r="A374" s="217">
        <v>211501</v>
      </c>
      <c r="B374" s="218" t="s">
        <v>14</v>
      </c>
      <c r="C374" s="174">
        <v>0</v>
      </c>
      <c r="D374" s="216"/>
      <c r="E374" s="173"/>
      <c r="F374" s="173"/>
    </row>
    <row r="375" spans="1:6" ht="23.25" customHeight="1">
      <c r="A375" s="228">
        <v>22</v>
      </c>
      <c r="B375" s="229" t="s">
        <v>15</v>
      </c>
      <c r="C375" s="172" t="e">
        <f>C376+#REF!+#REF!</f>
        <v>#REF!</v>
      </c>
      <c r="D375" s="224"/>
      <c r="E375" s="224"/>
      <c r="F375" s="224"/>
    </row>
    <row r="376" spans="1:6">
      <c r="A376" s="85">
        <v>221</v>
      </c>
      <c r="B376" s="86" t="s">
        <v>43</v>
      </c>
      <c r="C376" s="62">
        <f>C377+C381+C384+C387+C390</f>
        <v>4200</v>
      </c>
      <c r="D376" s="223"/>
      <c r="E376" s="223"/>
      <c r="F376" s="223"/>
    </row>
    <row r="377" spans="1:6">
      <c r="A377" s="74">
        <v>2211</v>
      </c>
      <c r="B377" s="194" t="s">
        <v>304</v>
      </c>
      <c r="C377" s="52">
        <f>SUBTOTAL(9,C378:C380)</f>
        <v>2400</v>
      </c>
      <c r="D377" s="222"/>
      <c r="E377" s="222"/>
      <c r="F377" s="222"/>
    </row>
    <row r="378" spans="1:6">
      <c r="A378" s="268">
        <v>221101</v>
      </c>
      <c r="B378" s="269" t="s">
        <v>305</v>
      </c>
      <c r="C378" s="173">
        <v>600</v>
      </c>
      <c r="D378" s="221"/>
      <c r="E378" s="173"/>
      <c r="F378" s="173"/>
    </row>
    <row r="379" spans="1:6">
      <c r="A379" s="268">
        <v>221102</v>
      </c>
      <c r="B379" s="269" t="s">
        <v>30</v>
      </c>
      <c r="C379" s="173">
        <v>600</v>
      </c>
      <c r="D379" s="221"/>
      <c r="E379" s="175"/>
      <c r="F379" s="175"/>
    </row>
    <row r="380" spans="1:6">
      <c r="A380" s="217">
        <v>221103</v>
      </c>
      <c r="B380" s="218" t="s">
        <v>306</v>
      </c>
      <c r="C380" s="173">
        <v>1200</v>
      </c>
      <c r="D380" s="221"/>
      <c r="E380" s="221"/>
      <c r="F380" s="221"/>
    </row>
    <row r="381" spans="1:6">
      <c r="A381" s="246">
        <v>2221</v>
      </c>
      <c r="B381" s="247" t="s">
        <v>17</v>
      </c>
      <c r="C381" s="52">
        <f>SUBTOTAL(9,C382:C383)</f>
        <v>0</v>
      </c>
      <c r="D381" s="222"/>
      <c r="E381" s="222"/>
      <c r="F381" s="222"/>
    </row>
    <row r="382" spans="1:6">
      <c r="A382" s="217">
        <v>222101</v>
      </c>
      <c r="B382" s="218" t="s">
        <v>18</v>
      </c>
      <c r="C382" s="173">
        <v>0</v>
      </c>
      <c r="D382" s="221"/>
      <c r="E382" s="221"/>
      <c r="F382" s="221"/>
    </row>
    <row r="383" spans="1:6">
      <c r="A383" s="217">
        <v>222102</v>
      </c>
      <c r="B383" s="218" t="s">
        <v>19</v>
      </c>
      <c r="C383" s="173">
        <v>0</v>
      </c>
      <c r="D383" s="221"/>
      <c r="E383" s="221"/>
      <c r="F383" s="221"/>
    </row>
    <row r="384" spans="1:6">
      <c r="A384" s="74">
        <v>2222</v>
      </c>
      <c r="B384" s="194" t="s">
        <v>20</v>
      </c>
      <c r="C384" s="52">
        <f>SUBTOTAL(9,C385:C386)</f>
        <v>1200</v>
      </c>
      <c r="D384" s="222"/>
      <c r="E384" s="222"/>
      <c r="F384" s="222"/>
    </row>
    <row r="385" spans="1:6">
      <c r="A385" s="217">
        <v>222201</v>
      </c>
      <c r="B385" s="218" t="s">
        <v>309</v>
      </c>
      <c r="C385" s="173">
        <v>600</v>
      </c>
      <c r="D385" s="221"/>
      <c r="E385" s="173"/>
      <c r="F385" s="173"/>
    </row>
    <row r="386" spans="1:6">
      <c r="A386" s="217">
        <v>222202</v>
      </c>
      <c r="B386" s="218" t="s">
        <v>328</v>
      </c>
      <c r="C386" s="173">
        <v>600</v>
      </c>
      <c r="D386" s="221"/>
      <c r="E386" s="173"/>
      <c r="F386" s="173"/>
    </row>
    <row r="387" spans="1:6">
      <c r="A387" s="246">
        <v>2223</v>
      </c>
      <c r="B387" s="247" t="s">
        <v>23</v>
      </c>
      <c r="C387" s="52">
        <f>SUBTOTAL(9,C388:C389)</f>
        <v>0</v>
      </c>
      <c r="D387" s="222"/>
      <c r="E387" s="52"/>
      <c r="F387" s="52"/>
    </row>
    <row r="388" spans="1:6">
      <c r="A388" s="217">
        <v>222301</v>
      </c>
      <c r="B388" s="218" t="s">
        <v>310</v>
      </c>
      <c r="C388" s="173">
        <v>0</v>
      </c>
      <c r="D388" s="221"/>
      <c r="E388" s="173"/>
      <c r="F388" s="173"/>
    </row>
    <row r="389" spans="1:6">
      <c r="A389" s="217">
        <v>222302</v>
      </c>
      <c r="B389" s="218" t="s">
        <v>24</v>
      </c>
      <c r="C389" s="173">
        <v>0</v>
      </c>
      <c r="D389" s="221"/>
      <c r="E389" s="174"/>
      <c r="F389" s="174"/>
    </row>
    <row r="390" spans="1:6">
      <c r="A390" s="246">
        <v>2224</v>
      </c>
      <c r="B390" s="194" t="s">
        <v>330</v>
      </c>
      <c r="C390" s="52">
        <f>SUBTOTAL(9,C391)</f>
        <v>600</v>
      </c>
      <c r="D390" s="222"/>
      <c r="E390" s="52"/>
      <c r="F390" s="52"/>
    </row>
    <row r="391" spans="1:6">
      <c r="A391" s="217">
        <v>222401</v>
      </c>
      <c r="B391" s="218" t="s">
        <v>343</v>
      </c>
      <c r="C391" s="173">
        <v>600</v>
      </c>
      <c r="D391" s="221"/>
      <c r="E391" s="173"/>
      <c r="F391" s="173"/>
    </row>
    <row r="392" spans="1:6">
      <c r="A392" s="217">
        <v>222403</v>
      </c>
      <c r="B392" s="218" t="s">
        <v>312</v>
      </c>
      <c r="C392" s="173"/>
      <c r="D392" s="221"/>
      <c r="E392" s="173"/>
      <c r="F392" s="173"/>
    </row>
    <row r="393" spans="1:6">
      <c r="A393" s="217">
        <v>222404</v>
      </c>
      <c r="B393" s="218" t="s">
        <v>313</v>
      </c>
      <c r="C393" s="173"/>
      <c r="D393" s="221"/>
      <c r="E393" s="173"/>
      <c r="F393" s="173"/>
    </row>
    <row r="394" spans="1:6">
      <c r="A394" s="217">
        <v>222405</v>
      </c>
      <c r="B394" s="218" t="s">
        <v>314</v>
      </c>
      <c r="C394" s="173"/>
      <c r="D394" s="221"/>
      <c r="E394" s="173"/>
      <c r="F394" s="173"/>
    </row>
    <row r="395" spans="1:6">
      <c r="A395" s="74">
        <v>2225</v>
      </c>
      <c r="B395" s="194" t="s">
        <v>331</v>
      </c>
      <c r="C395" s="52">
        <f>SUBTOTAL(9,C396:C396)</f>
        <v>1200</v>
      </c>
      <c r="D395" s="222"/>
      <c r="E395" s="52"/>
      <c r="F395" s="52"/>
    </row>
    <row r="396" spans="1:6">
      <c r="A396" s="217">
        <v>222501</v>
      </c>
      <c r="B396" s="218" t="s">
        <v>315</v>
      </c>
      <c r="C396" s="173">
        <v>1200</v>
      </c>
      <c r="D396" s="221"/>
      <c r="E396" s="173"/>
      <c r="F396" s="173"/>
    </row>
    <row r="397" spans="1:6">
      <c r="A397" s="217">
        <v>222502</v>
      </c>
      <c r="B397" s="218" t="s">
        <v>316</v>
      </c>
      <c r="C397" s="173"/>
      <c r="D397" s="221"/>
      <c r="E397" s="173"/>
      <c r="F397" s="173"/>
    </row>
    <row r="398" spans="1:6">
      <c r="A398" s="217">
        <v>222503</v>
      </c>
      <c r="B398" s="218" t="s">
        <v>317</v>
      </c>
      <c r="C398" s="173"/>
      <c r="D398" s="221"/>
      <c r="E398" s="173"/>
      <c r="F398" s="173"/>
    </row>
    <row r="399" spans="1:6">
      <c r="A399" s="217">
        <v>222504</v>
      </c>
      <c r="B399" s="218" t="s">
        <v>318</v>
      </c>
      <c r="C399" s="173"/>
      <c r="D399" s="221"/>
      <c r="E399" s="173"/>
      <c r="F399" s="173"/>
    </row>
    <row r="400" spans="1:6">
      <c r="A400" s="246">
        <v>2231</v>
      </c>
      <c r="B400" s="247" t="s">
        <v>21</v>
      </c>
      <c r="C400" s="52">
        <f>SUBTOTAL(9,C401:C403)</f>
        <v>5400</v>
      </c>
      <c r="D400" s="222"/>
      <c r="E400" s="52"/>
      <c r="F400" s="52"/>
    </row>
    <row r="401" spans="1:6">
      <c r="A401" s="217">
        <v>223101</v>
      </c>
      <c r="B401" s="218" t="s">
        <v>319</v>
      </c>
      <c r="C401" s="173">
        <f>2400+600</f>
        <v>3000</v>
      </c>
      <c r="D401" s="221"/>
      <c r="E401" s="173"/>
      <c r="F401" s="173"/>
    </row>
    <row r="402" spans="1:6">
      <c r="A402" s="217">
        <v>223102</v>
      </c>
      <c r="B402" s="218" t="s">
        <v>22</v>
      </c>
      <c r="C402" s="173"/>
      <c r="D402" s="221"/>
      <c r="E402" s="173"/>
      <c r="F402" s="173"/>
    </row>
    <row r="403" spans="1:6">
      <c r="A403" s="217">
        <v>223103</v>
      </c>
      <c r="B403" s="218" t="s">
        <v>340</v>
      </c>
      <c r="C403" s="173">
        <v>2400</v>
      </c>
      <c r="D403" s="221"/>
      <c r="E403" s="173"/>
      <c r="F403" s="173"/>
    </row>
    <row r="404" spans="1:6">
      <c r="A404" s="246">
        <v>2244</v>
      </c>
      <c r="B404" s="247" t="s">
        <v>321</v>
      </c>
      <c r="C404" s="52">
        <f>SUBTOTAL(9,C405:C408)</f>
        <v>0</v>
      </c>
      <c r="D404" s="222"/>
      <c r="E404" s="222"/>
      <c r="F404" s="222"/>
    </row>
    <row r="405" spans="1:6">
      <c r="A405" s="217">
        <v>224401</v>
      </c>
      <c r="B405" s="218" t="s">
        <v>344</v>
      </c>
      <c r="C405" s="173">
        <v>0</v>
      </c>
      <c r="D405" s="221"/>
      <c r="E405" s="173"/>
      <c r="F405" s="173"/>
    </row>
    <row r="406" spans="1:6">
      <c r="A406" s="217">
        <v>224402</v>
      </c>
      <c r="B406" s="218" t="s">
        <v>323</v>
      </c>
      <c r="C406" s="174">
        <v>0</v>
      </c>
      <c r="D406" s="216"/>
      <c r="E406" s="173"/>
      <c r="F406" s="173"/>
    </row>
    <row r="407" spans="1:6">
      <c r="A407" s="246">
        <v>2281</v>
      </c>
      <c r="B407" s="247" t="s">
        <v>349</v>
      </c>
      <c r="C407" s="174"/>
      <c r="D407" s="52"/>
      <c r="E407" s="52"/>
      <c r="F407" s="52"/>
    </row>
    <row r="408" spans="1:6" ht="13.5" customHeight="1">
      <c r="A408" s="217">
        <v>228101</v>
      </c>
      <c r="B408" s="218" t="s">
        <v>325</v>
      </c>
      <c r="C408" s="174">
        <v>0</v>
      </c>
      <c r="D408" s="216"/>
      <c r="E408" s="216"/>
      <c r="F408" s="216"/>
    </row>
    <row r="409" spans="1:6" ht="21.75" customHeight="1">
      <c r="A409" s="225">
        <v>20101</v>
      </c>
      <c r="B409" s="255" t="s">
        <v>64</v>
      </c>
      <c r="C409" s="169" t="s">
        <v>0</v>
      </c>
      <c r="D409" s="169" t="s">
        <v>261</v>
      </c>
      <c r="E409" s="169" t="s">
        <v>358</v>
      </c>
      <c r="F409" s="169" t="s">
        <v>359</v>
      </c>
    </row>
    <row r="410" spans="1:6">
      <c r="A410" s="280" t="s">
        <v>5</v>
      </c>
      <c r="B410" s="281" t="s">
        <v>65</v>
      </c>
      <c r="C410" s="282" t="e">
        <f>C411+C422</f>
        <v>#REF!</v>
      </c>
      <c r="D410" s="282">
        <f>D411+D422</f>
        <v>0</v>
      </c>
      <c r="E410" s="282">
        <f>E411+E422</f>
        <v>0</v>
      </c>
      <c r="F410" s="282">
        <f>E410/12</f>
        <v>0</v>
      </c>
    </row>
    <row r="411" spans="1:6">
      <c r="A411" s="228">
        <v>21</v>
      </c>
      <c r="B411" s="229" t="s">
        <v>6</v>
      </c>
      <c r="C411" s="172">
        <f>C412</f>
        <v>43200</v>
      </c>
      <c r="D411" s="172">
        <f>D412</f>
        <v>0</v>
      </c>
      <c r="E411" s="172">
        <f>E412</f>
        <v>0</v>
      </c>
      <c r="F411" s="172">
        <f t="shared" ref="F411:F455" si="16">E411/12</f>
        <v>0</v>
      </c>
    </row>
    <row r="412" spans="1:6">
      <c r="A412" s="85">
        <v>211</v>
      </c>
      <c r="B412" s="86" t="s">
        <v>7</v>
      </c>
      <c r="C412" s="62">
        <f>C413+C416+C420</f>
        <v>43200</v>
      </c>
      <c r="D412" s="62">
        <f>D413+D416+D420</f>
        <v>0</v>
      </c>
      <c r="E412" s="62">
        <f>E413+E416+E420</f>
        <v>0</v>
      </c>
      <c r="F412" s="62">
        <f t="shared" si="16"/>
        <v>0</v>
      </c>
    </row>
    <row r="413" spans="1:6">
      <c r="A413" s="74">
        <v>2111</v>
      </c>
      <c r="B413" s="194" t="s">
        <v>8</v>
      </c>
      <c r="C413" s="283">
        <f>SUBTOTAL(9,C414:C415)</f>
        <v>43200</v>
      </c>
      <c r="D413" s="283">
        <f>SUM(D414:D415)</f>
        <v>0</v>
      </c>
      <c r="E413" s="52">
        <f>SUM(E414:E415)</f>
        <v>0</v>
      </c>
      <c r="F413" s="52">
        <f t="shared" si="16"/>
        <v>0</v>
      </c>
    </row>
    <row r="414" spans="1:6">
      <c r="A414" s="217">
        <v>211101</v>
      </c>
      <c r="B414" s="218" t="s">
        <v>9</v>
      </c>
      <c r="C414" s="173">
        <f>43200-C415</f>
        <v>31200</v>
      </c>
      <c r="D414" s="173"/>
      <c r="E414" s="173"/>
      <c r="F414" s="173">
        <f t="shared" si="16"/>
        <v>0</v>
      </c>
    </row>
    <row r="415" spans="1:6">
      <c r="A415" s="217">
        <v>211106</v>
      </c>
      <c r="B415" s="218" t="s">
        <v>33</v>
      </c>
      <c r="C415" s="173">
        <v>12000</v>
      </c>
      <c r="D415" s="173"/>
      <c r="E415" s="173"/>
      <c r="F415" s="173">
        <f t="shared" si="16"/>
        <v>0</v>
      </c>
    </row>
    <row r="416" spans="1:6">
      <c r="A416" s="74">
        <v>2113</v>
      </c>
      <c r="B416" s="194" t="s">
        <v>10</v>
      </c>
      <c r="C416" s="283">
        <f>SUBTOTAL(9,C417:C419)</f>
        <v>0</v>
      </c>
      <c r="D416" s="283">
        <f>SUM(D417:D419)</f>
        <v>0</v>
      </c>
      <c r="E416" s="283">
        <f>SUM(E417:E419)</f>
        <v>0</v>
      </c>
      <c r="F416" s="283">
        <f t="shared" si="16"/>
        <v>0</v>
      </c>
    </row>
    <row r="417" spans="1:6">
      <c r="A417" s="217">
        <v>211301</v>
      </c>
      <c r="B417" s="218" t="s">
        <v>11</v>
      </c>
      <c r="C417" s="174">
        <v>0</v>
      </c>
      <c r="D417" s="174"/>
      <c r="E417" s="174"/>
      <c r="F417" s="173">
        <f t="shared" si="16"/>
        <v>0</v>
      </c>
    </row>
    <row r="418" spans="1:6">
      <c r="A418" s="217">
        <v>211306</v>
      </c>
      <c r="B418" s="218" t="s">
        <v>34</v>
      </c>
      <c r="C418" s="173">
        <v>0</v>
      </c>
      <c r="D418" s="173"/>
      <c r="E418" s="173"/>
      <c r="F418" s="173">
        <f t="shared" si="16"/>
        <v>0</v>
      </c>
    </row>
    <row r="419" spans="1:6">
      <c r="A419" s="217">
        <v>211308</v>
      </c>
      <c r="B419" s="218" t="s">
        <v>12</v>
      </c>
      <c r="C419" s="173">
        <v>0</v>
      </c>
      <c r="D419" s="173"/>
      <c r="E419" s="173"/>
      <c r="F419" s="173">
        <f t="shared" si="16"/>
        <v>0</v>
      </c>
    </row>
    <row r="420" spans="1:6">
      <c r="A420" s="74">
        <v>2115</v>
      </c>
      <c r="B420" s="194" t="s">
        <v>13</v>
      </c>
      <c r="C420" s="283">
        <f>SUBTOTAL(9,C421)</f>
        <v>0</v>
      </c>
      <c r="D420" s="283">
        <f>D421</f>
        <v>0</v>
      </c>
      <c r="E420" s="283">
        <f>E421</f>
        <v>0</v>
      </c>
      <c r="F420" s="283">
        <f t="shared" si="16"/>
        <v>0</v>
      </c>
    </row>
    <row r="421" spans="1:6" ht="19.5" customHeight="1">
      <c r="A421" s="217">
        <v>211501</v>
      </c>
      <c r="B421" s="218" t="s">
        <v>14</v>
      </c>
      <c r="C421" s="174">
        <v>0</v>
      </c>
      <c r="D421" s="174"/>
      <c r="E421" s="174"/>
      <c r="F421" s="174">
        <f t="shared" si="16"/>
        <v>0</v>
      </c>
    </row>
    <row r="422" spans="1:6" ht="18.75" customHeight="1">
      <c r="A422" s="228">
        <v>22</v>
      </c>
      <c r="B422" s="229" t="s">
        <v>15</v>
      </c>
      <c r="C422" s="172" t="e">
        <f>C423+#REF!+#REF!+#REF!</f>
        <v>#REF!</v>
      </c>
      <c r="D422" s="172">
        <f>D423</f>
        <v>0</v>
      </c>
      <c r="E422" s="172">
        <f>E423</f>
        <v>0</v>
      </c>
      <c r="F422" s="172">
        <f t="shared" si="16"/>
        <v>0</v>
      </c>
    </row>
    <row r="423" spans="1:6">
      <c r="A423" s="85">
        <v>221</v>
      </c>
      <c r="B423" s="86" t="s">
        <v>16</v>
      </c>
      <c r="C423" s="62">
        <f>C424+C428+C431+C434+C437</f>
        <v>6480</v>
      </c>
      <c r="D423" s="62">
        <f>D424+D428+D431+D434+D437+D442+D447+D451+D454</f>
        <v>0</v>
      </c>
      <c r="E423" s="62">
        <f>E424+E428+E431+E434+E437+E442+E447+E451+E454</f>
        <v>0</v>
      </c>
      <c r="F423" s="62">
        <f t="shared" si="16"/>
        <v>0</v>
      </c>
    </row>
    <row r="424" spans="1:6">
      <c r="A424" s="74">
        <v>2211</v>
      </c>
      <c r="B424" s="194" t="s">
        <v>304</v>
      </c>
      <c r="C424" s="283">
        <f>SUBTOTAL(9,C425:C427)</f>
        <v>2520</v>
      </c>
      <c r="D424" s="283">
        <f>SUM(D425:D427)</f>
        <v>0</v>
      </c>
      <c r="E424" s="52">
        <f>SUM(E425:E427)</f>
        <v>0</v>
      </c>
      <c r="F424" s="52">
        <f t="shared" si="16"/>
        <v>0</v>
      </c>
    </row>
    <row r="425" spans="1:6">
      <c r="A425" s="268">
        <v>221101</v>
      </c>
      <c r="B425" s="269" t="s">
        <v>305</v>
      </c>
      <c r="C425" s="173">
        <v>720</v>
      </c>
      <c r="D425" s="173"/>
      <c r="E425" s="173"/>
      <c r="F425" s="173">
        <f t="shared" si="16"/>
        <v>0</v>
      </c>
    </row>
    <row r="426" spans="1:6">
      <c r="A426" s="268">
        <v>221102</v>
      </c>
      <c r="B426" s="269" t="s">
        <v>30</v>
      </c>
      <c r="C426" s="173">
        <v>600</v>
      </c>
      <c r="D426" s="173"/>
      <c r="E426" s="173"/>
      <c r="F426" s="173">
        <f t="shared" si="16"/>
        <v>0</v>
      </c>
    </row>
    <row r="427" spans="1:6">
      <c r="A427" s="217">
        <v>221103</v>
      </c>
      <c r="B427" s="218" t="s">
        <v>306</v>
      </c>
      <c r="C427" s="173">
        <v>1200</v>
      </c>
      <c r="D427" s="173"/>
      <c r="E427" s="173"/>
      <c r="F427" s="173">
        <f t="shared" si="16"/>
        <v>0</v>
      </c>
    </row>
    <row r="428" spans="1:6">
      <c r="A428" s="246">
        <v>2221</v>
      </c>
      <c r="B428" s="247" t="s">
        <v>17</v>
      </c>
      <c r="C428" s="283">
        <f>SUBTOTAL(9,C429:C430)</f>
        <v>0</v>
      </c>
      <c r="D428" s="283">
        <f>SUM(D429:D430)</f>
        <v>0</v>
      </c>
      <c r="E428" s="52">
        <f>SUM(E429:E430)</f>
        <v>0</v>
      </c>
      <c r="F428" s="52">
        <f t="shared" si="16"/>
        <v>0</v>
      </c>
    </row>
    <row r="429" spans="1:6">
      <c r="A429" s="217">
        <v>222101</v>
      </c>
      <c r="B429" s="218" t="s">
        <v>18</v>
      </c>
      <c r="C429" s="173">
        <v>0</v>
      </c>
      <c r="D429" s="173"/>
      <c r="E429" s="173"/>
      <c r="F429" s="173">
        <f t="shared" si="16"/>
        <v>0</v>
      </c>
    </row>
    <row r="430" spans="1:6">
      <c r="A430" s="217">
        <v>222102</v>
      </c>
      <c r="B430" s="218" t="s">
        <v>19</v>
      </c>
      <c r="C430" s="173">
        <v>0</v>
      </c>
      <c r="D430" s="174"/>
      <c r="E430" s="174"/>
      <c r="F430" s="173">
        <f t="shared" si="16"/>
        <v>0</v>
      </c>
    </row>
    <row r="431" spans="1:6">
      <c r="A431" s="74">
        <v>2222</v>
      </c>
      <c r="B431" s="194" t="s">
        <v>20</v>
      </c>
      <c r="C431" s="283">
        <f>SUBTOTAL(9,C432:C433)</f>
        <v>3120</v>
      </c>
      <c r="D431" s="283"/>
      <c r="E431" s="52">
        <f>SUM(E432:E433)</f>
        <v>0</v>
      </c>
      <c r="F431" s="52">
        <f t="shared" si="16"/>
        <v>0</v>
      </c>
    </row>
    <row r="432" spans="1:6">
      <c r="A432" s="217">
        <v>222201</v>
      </c>
      <c r="B432" s="218" t="s">
        <v>309</v>
      </c>
      <c r="C432" s="173">
        <v>1920</v>
      </c>
      <c r="D432" s="173"/>
      <c r="E432" s="173"/>
      <c r="F432" s="173">
        <f t="shared" si="16"/>
        <v>0</v>
      </c>
    </row>
    <row r="433" spans="1:6">
      <c r="A433" s="217">
        <v>222202</v>
      </c>
      <c r="B433" s="218" t="s">
        <v>328</v>
      </c>
      <c r="C433" s="173">
        <v>1200</v>
      </c>
      <c r="D433" s="173"/>
      <c r="E433" s="173"/>
      <c r="F433" s="173">
        <f t="shared" si="16"/>
        <v>0</v>
      </c>
    </row>
    <row r="434" spans="1:6">
      <c r="A434" s="246">
        <v>2223</v>
      </c>
      <c r="B434" s="247" t="s">
        <v>23</v>
      </c>
      <c r="C434" s="283">
        <f>SUBTOTAL(9,C435:C436)</f>
        <v>0</v>
      </c>
      <c r="D434" s="283">
        <f>SUM(D435:D436)</f>
        <v>0</v>
      </c>
      <c r="E434" s="52">
        <f>SUM(E435:E436)</f>
        <v>0</v>
      </c>
      <c r="F434" s="52">
        <f t="shared" si="16"/>
        <v>0</v>
      </c>
    </row>
    <row r="435" spans="1:6">
      <c r="A435" s="217">
        <v>222301</v>
      </c>
      <c r="B435" s="218" t="s">
        <v>310</v>
      </c>
      <c r="C435" s="173">
        <v>0</v>
      </c>
      <c r="D435" s="173"/>
      <c r="E435" s="173"/>
      <c r="F435" s="173">
        <f t="shared" si="16"/>
        <v>0</v>
      </c>
    </row>
    <row r="436" spans="1:6">
      <c r="A436" s="217">
        <v>222302</v>
      </c>
      <c r="B436" s="218" t="s">
        <v>24</v>
      </c>
      <c r="C436" s="173">
        <v>0</v>
      </c>
      <c r="D436" s="173"/>
      <c r="E436" s="173"/>
      <c r="F436" s="173">
        <f t="shared" si="16"/>
        <v>0</v>
      </c>
    </row>
    <row r="437" spans="1:6">
      <c r="A437" s="246">
        <v>2224</v>
      </c>
      <c r="B437" s="194" t="s">
        <v>330</v>
      </c>
      <c r="C437" s="283">
        <f>SUBTOTAL(9,C438)</f>
        <v>840</v>
      </c>
      <c r="D437" s="283">
        <f>SUM(D438:D441)</f>
        <v>0</v>
      </c>
      <c r="E437" s="52">
        <f>SUM(E438:E441)</f>
        <v>0</v>
      </c>
      <c r="F437" s="52">
        <f t="shared" si="16"/>
        <v>0</v>
      </c>
    </row>
    <row r="438" spans="1:6">
      <c r="A438" s="217">
        <v>222401</v>
      </c>
      <c r="B438" s="218" t="s">
        <v>343</v>
      </c>
      <c r="C438" s="173">
        <v>840</v>
      </c>
      <c r="D438" s="173"/>
      <c r="E438" s="173"/>
      <c r="F438" s="173">
        <f t="shared" si="16"/>
        <v>0</v>
      </c>
    </row>
    <row r="439" spans="1:6">
      <c r="A439" s="217">
        <v>222403</v>
      </c>
      <c r="B439" s="218" t="s">
        <v>312</v>
      </c>
      <c r="C439" s="173"/>
      <c r="D439" s="173"/>
      <c r="E439" s="173"/>
      <c r="F439" s="173">
        <f t="shared" si="16"/>
        <v>0</v>
      </c>
    </row>
    <row r="440" spans="1:6">
      <c r="A440" s="217">
        <v>222404</v>
      </c>
      <c r="B440" s="218" t="s">
        <v>313</v>
      </c>
      <c r="C440" s="173"/>
      <c r="D440" s="173"/>
      <c r="E440" s="173"/>
      <c r="F440" s="173">
        <f t="shared" si="16"/>
        <v>0</v>
      </c>
    </row>
    <row r="441" spans="1:6">
      <c r="A441" s="217">
        <v>222405</v>
      </c>
      <c r="B441" s="218" t="s">
        <v>314</v>
      </c>
      <c r="C441" s="173"/>
      <c r="D441" s="173"/>
      <c r="E441" s="173"/>
      <c r="F441" s="173">
        <f t="shared" si="16"/>
        <v>0</v>
      </c>
    </row>
    <row r="442" spans="1:6">
      <c r="A442" s="74">
        <v>2225</v>
      </c>
      <c r="B442" s="194" t="s">
        <v>331</v>
      </c>
      <c r="C442" s="283">
        <f>SUBTOTAL(9,C443)</f>
        <v>0</v>
      </c>
      <c r="D442" s="283">
        <f>SUM(D443:D446)</f>
        <v>0</v>
      </c>
      <c r="E442" s="283">
        <f>SUM(E443:E446)</f>
        <v>0</v>
      </c>
      <c r="F442" s="283">
        <f t="shared" si="16"/>
        <v>0</v>
      </c>
    </row>
    <row r="443" spans="1:6">
      <c r="A443" s="217">
        <v>222501</v>
      </c>
      <c r="B443" s="218" t="s">
        <v>315</v>
      </c>
      <c r="C443" s="173">
        <v>0</v>
      </c>
      <c r="D443" s="173"/>
      <c r="E443" s="173"/>
      <c r="F443" s="173">
        <f t="shared" si="16"/>
        <v>0</v>
      </c>
    </row>
    <row r="444" spans="1:6">
      <c r="A444" s="217">
        <v>222502</v>
      </c>
      <c r="B444" s="218" t="s">
        <v>316</v>
      </c>
      <c r="C444" s="173"/>
      <c r="D444" s="173"/>
      <c r="E444" s="173"/>
      <c r="F444" s="173">
        <f t="shared" si="16"/>
        <v>0</v>
      </c>
    </row>
    <row r="445" spans="1:6">
      <c r="A445" s="217">
        <v>222503</v>
      </c>
      <c r="B445" s="218" t="s">
        <v>317</v>
      </c>
      <c r="C445" s="173"/>
      <c r="D445" s="173"/>
      <c r="E445" s="173"/>
      <c r="F445" s="173">
        <f t="shared" si="16"/>
        <v>0</v>
      </c>
    </row>
    <row r="446" spans="1:6">
      <c r="A446" s="217">
        <v>222504</v>
      </c>
      <c r="B446" s="218" t="s">
        <v>318</v>
      </c>
      <c r="C446" s="173"/>
      <c r="D446" s="173"/>
      <c r="E446" s="173"/>
      <c r="F446" s="173">
        <f t="shared" si="16"/>
        <v>0</v>
      </c>
    </row>
    <row r="447" spans="1:6">
      <c r="A447" s="246">
        <v>2231</v>
      </c>
      <c r="B447" s="247" t="s">
        <v>21</v>
      </c>
      <c r="C447" s="283">
        <f>SUBTOTAL(9,C448:C448)</f>
        <v>4800</v>
      </c>
      <c r="D447" s="283">
        <f>SUM(D448:D450)</f>
        <v>0</v>
      </c>
      <c r="E447" s="52">
        <f>SUM(E448:E450)</f>
        <v>0</v>
      </c>
      <c r="F447" s="52">
        <f t="shared" si="16"/>
        <v>0</v>
      </c>
    </row>
    <row r="448" spans="1:6">
      <c r="A448" s="217">
        <v>223101</v>
      </c>
      <c r="B448" s="218" t="s">
        <v>319</v>
      </c>
      <c r="C448" s="174">
        <v>4800</v>
      </c>
      <c r="D448" s="173"/>
      <c r="E448" s="174"/>
      <c r="F448" s="174">
        <f t="shared" si="16"/>
        <v>0</v>
      </c>
    </row>
    <row r="449" spans="1:6">
      <c r="A449" s="217">
        <v>223102</v>
      </c>
      <c r="B449" s="218" t="s">
        <v>22</v>
      </c>
      <c r="C449" s="174"/>
      <c r="D449" s="173"/>
      <c r="E449" s="174"/>
      <c r="F449" s="174">
        <f t="shared" si="16"/>
        <v>0</v>
      </c>
    </row>
    <row r="450" spans="1:6">
      <c r="A450" s="217">
        <v>223103</v>
      </c>
      <c r="B450" s="218" t="s">
        <v>340</v>
      </c>
      <c r="C450" s="174"/>
      <c r="D450" s="173"/>
      <c r="E450" s="174"/>
      <c r="F450" s="174">
        <f t="shared" si="16"/>
        <v>0</v>
      </c>
    </row>
    <row r="451" spans="1:6">
      <c r="A451" s="246">
        <v>2244</v>
      </c>
      <c r="B451" s="247" t="s">
        <v>321</v>
      </c>
      <c r="C451" s="283">
        <f>SUBTOTAL(9,C452:C453)</f>
        <v>3600</v>
      </c>
      <c r="D451" s="283">
        <f>SUM(D452:D453)</f>
        <v>0</v>
      </c>
      <c r="E451" s="283">
        <f>SUM(E452:E453)</f>
        <v>0</v>
      </c>
      <c r="F451" s="283">
        <f t="shared" si="16"/>
        <v>0</v>
      </c>
    </row>
    <row r="452" spans="1:6">
      <c r="A452" s="217">
        <v>224401</v>
      </c>
      <c r="B452" s="218" t="s">
        <v>344</v>
      </c>
      <c r="C452" s="174">
        <v>2400</v>
      </c>
      <c r="D452" s="174"/>
      <c r="E452" s="174"/>
      <c r="F452" s="174">
        <f t="shared" si="16"/>
        <v>0</v>
      </c>
    </row>
    <row r="453" spans="1:6">
      <c r="A453" s="217">
        <v>224402</v>
      </c>
      <c r="B453" s="218" t="s">
        <v>323</v>
      </c>
      <c r="C453" s="173">
        <v>1200</v>
      </c>
      <c r="D453" s="174"/>
      <c r="E453" s="174"/>
      <c r="F453" s="174">
        <f t="shared" si="16"/>
        <v>0</v>
      </c>
    </row>
    <row r="454" spans="1:6">
      <c r="A454" s="246">
        <v>2281</v>
      </c>
      <c r="B454" s="247" t="s">
        <v>348</v>
      </c>
      <c r="C454" s="283">
        <f>SUBTOTAL(9,C455:C455)</f>
        <v>0</v>
      </c>
      <c r="D454" s="283">
        <f>D455</f>
        <v>0</v>
      </c>
      <c r="E454" s="283">
        <f>E455</f>
        <v>0</v>
      </c>
      <c r="F454" s="283">
        <f t="shared" si="16"/>
        <v>0</v>
      </c>
    </row>
    <row r="455" spans="1:6" ht="33" customHeight="1">
      <c r="A455" s="217">
        <v>228101</v>
      </c>
      <c r="B455" s="218" t="s">
        <v>325</v>
      </c>
      <c r="C455" s="174">
        <v>0</v>
      </c>
      <c r="D455" s="174"/>
      <c r="E455" s="173"/>
      <c r="F455" s="173">
        <f t="shared" si="16"/>
        <v>0</v>
      </c>
    </row>
    <row r="456" spans="1:6" ht="24" customHeight="1">
      <c r="A456" s="225">
        <v>20201</v>
      </c>
      <c r="B456" s="255" t="s">
        <v>46</v>
      </c>
      <c r="C456" s="169" t="s">
        <v>0</v>
      </c>
      <c r="D456" s="169" t="s">
        <v>261</v>
      </c>
      <c r="E456" s="169" t="s">
        <v>358</v>
      </c>
      <c r="F456" s="169" t="s">
        <v>359</v>
      </c>
    </row>
    <row r="457" spans="1:6">
      <c r="A457" s="280" t="s">
        <v>5</v>
      </c>
      <c r="B457" s="281" t="s">
        <v>65</v>
      </c>
      <c r="C457" s="282">
        <f>C458+C469+C501</f>
        <v>0</v>
      </c>
      <c r="D457" s="282">
        <f>D458+D469</f>
        <v>0</v>
      </c>
      <c r="E457" s="282">
        <f>E458+E469</f>
        <v>0</v>
      </c>
      <c r="F457" s="282">
        <f>E457/12</f>
        <v>0</v>
      </c>
    </row>
    <row r="458" spans="1:6">
      <c r="A458" s="228">
        <v>21</v>
      </c>
      <c r="B458" s="229" t="s">
        <v>6</v>
      </c>
      <c r="C458" s="172">
        <f>C459</f>
        <v>0</v>
      </c>
      <c r="D458" s="172">
        <f>D459</f>
        <v>0</v>
      </c>
      <c r="E458" s="172">
        <f>E459</f>
        <v>0</v>
      </c>
      <c r="F458" s="172">
        <f t="shared" ref="F458:F502" si="17">E458/12</f>
        <v>0</v>
      </c>
    </row>
    <row r="459" spans="1:6">
      <c r="A459" s="85">
        <v>211</v>
      </c>
      <c r="B459" s="86" t="s">
        <v>7</v>
      </c>
      <c r="C459" s="62">
        <f>C460+C463+C467</f>
        <v>0</v>
      </c>
      <c r="D459" s="62">
        <f>D460+D463+D467</f>
        <v>0</v>
      </c>
      <c r="E459" s="62">
        <f>E460+E463+E467</f>
        <v>0</v>
      </c>
      <c r="F459" s="62">
        <f t="shared" si="17"/>
        <v>0</v>
      </c>
    </row>
    <row r="460" spans="1:6">
      <c r="A460" s="74">
        <v>2111</v>
      </c>
      <c r="B460" s="194" t="s">
        <v>8</v>
      </c>
      <c r="C460" s="52">
        <f>SUBTOTAL(9,C461:C462)</f>
        <v>0</v>
      </c>
      <c r="D460" s="52">
        <f>SUM(D461:D462)</f>
        <v>0</v>
      </c>
      <c r="E460" s="52">
        <f>SUM(E461:E462)</f>
        <v>0</v>
      </c>
      <c r="F460" s="52">
        <f t="shared" si="17"/>
        <v>0</v>
      </c>
    </row>
    <row r="461" spans="1:6">
      <c r="A461" s="217">
        <v>211101</v>
      </c>
      <c r="B461" s="218" t="s">
        <v>9</v>
      </c>
      <c r="C461" s="173">
        <v>0</v>
      </c>
      <c r="D461" s="173"/>
      <c r="E461" s="173"/>
      <c r="F461" s="173">
        <f t="shared" si="17"/>
        <v>0</v>
      </c>
    </row>
    <row r="462" spans="1:6">
      <c r="A462" s="217">
        <v>211106</v>
      </c>
      <c r="B462" s="218" t="s">
        <v>33</v>
      </c>
      <c r="C462" s="173">
        <v>0</v>
      </c>
      <c r="D462" s="173"/>
      <c r="E462" s="173"/>
      <c r="F462" s="173">
        <f t="shared" si="17"/>
        <v>0</v>
      </c>
    </row>
    <row r="463" spans="1:6">
      <c r="A463" s="74">
        <v>2113</v>
      </c>
      <c r="B463" s="194" t="s">
        <v>10</v>
      </c>
      <c r="C463" s="52">
        <f>SUBTOTAL(9,C464:C466)</f>
        <v>0</v>
      </c>
      <c r="D463" s="52">
        <f>SUM(D464:D466)</f>
        <v>0</v>
      </c>
      <c r="E463" s="52">
        <f>SUM(E464:E466)</f>
        <v>0</v>
      </c>
      <c r="F463" s="52">
        <f t="shared" si="17"/>
        <v>0</v>
      </c>
    </row>
    <row r="464" spans="1:6">
      <c r="A464" s="217">
        <v>211301</v>
      </c>
      <c r="B464" s="218" t="s">
        <v>11</v>
      </c>
      <c r="C464" s="173">
        <v>0</v>
      </c>
      <c r="D464" s="173"/>
      <c r="E464" s="173"/>
      <c r="F464" s="173">
        <f t="shared" si="17"/>
        <v>0</v>
      </c>
    </row>
    <row r="465" spans="1:6">
      <c r="A465" s="217">
        <v>211306</v>
      </c>
      <c r="B465" s="218" t="s">
        <v>34</v>
      </c>
      <c r="C465" s="173">
        <v>0</v>
      </c>
      <c r="D465" s="173"/>
      <c r="E465" s="173"/>
      <c r="F465" s="173">
        <f t="shared" si="17"/>
        <v>0</v>
      </c>
    </row>
    <row r="466" spans="1:6">
      <c r="A466" s="217">
        <v>211308</v>
      </c>
      <c r="B466" s="218" t="s">
        <v>12</v>
      </c>
      <c r="C466" s="173">
        <v>0</v>
      </c>
      <c r="D466" s="173"/>
      <c r="E466" s="173"/>
      <c r="F466" s="173">
        <f t="shared" si="17"/>
        <v>0</v>
      </c>
    </row>
    <row r="467" spans="1:6">
      <c r="A467" s="74">
        <v>2115</v>
      </c>
      <c r="B467" s="194" t="s">
        <v>13</v>
      </c>
      <c r="C467" s="52">
        <f>SUBTOTAL(9,C468:C470)</f>
        <v>0</v>
      </c>
      <c r="D467" s="52">
        <f>D468</f>
        <v>0</v>
      </c>
      <c r="E467" s="52">
        <f>E468</f>
        <v>0</v>
      </c>
      <c r="F467" s="52">
        <f t="shared" si="17"/>
        <v>0</v>
      </c>
    </row>
    <row r="468" spans="1:6" ht="16.5" customHeight="1">
      <c r="A468" s="217">
        <v>211501</v>
      </c>
      <c r="B468" s="218" t="s">
        <v>14</v>
      </c>
      <c r="C468" s="174">
        <v>0</v>
      </c>
      <c r="D468" s="174"/>
      <c r="E468" s="174"/>
      <c r="F468" s="174">
        <f t="shared" si="17"/>
        <v>0</v>
      </c>
    </row>
    <row r="469" spans="1:6" ht="19.5" customHeight="1">
      <c r="A469" s="228">
        <v>22</v>
      </c>
      <c r="B469" s="229" t="s">
        <v>15</v>
      </c>
      <c r="C469" s="172">
        <f>C470</f>
        <v>0</v>
      </c>
      <c r="D469" s="172">
        <f>D470</f>
        <v>0</v>
      </c>
      <c r="E469" s="172">
        <f>E470</f>
        <v>0</v>
      </c>
      <c r="F469" s="172">
        <f t="shared" si="17"/>
        <v>0</v>
      </c>
    </row>
    <row r="470" spans="1:6">
      <c r="A470" s="85">
        <v>221</v>
      </c>
      <c r="B470" s="86" t="s">
        <v>16</v>
      </c>
      <c r="C470" s="62">
        <f>C471+C475+C478+C481+C484</f>
        <v>0</v>
      </c>
      <c r="D470" s="62">
        <f>D471+D475+D478+D481+D484+D489+D494+D498+D501</f>
        <v>0</v>
      </c>
      <c r="E470" s="62">
        <f>E471+E475+E478+E481+E484+E489+E494+E498+E501</f>
        <v>0</v>
      </c>
      <c r="F470" s="62">
        <f t="shared" si="17"/>
        <v>0</v>
      </c>
    </row>
    <row r="471" spans="1:6">
      <c r="A471" s="74">
        <v>2211</v>
      </c>
      <c r="B471" s="194" t="s">
        <v>304</v>
      </c>
      <c r="C471" s="52">
        <f>SUBTOTAL(9,C472:C474)</f>
        <v>0</v>
      </c>
      <c r="D471" s="52">
        <f>SUM(D472:D474)</f>
        <v>0</v>
      </c>
      <c r="E471" s="52">
        <f>SUM(E472:E474)</f>
        <v>0</v>
      </c>
      <c r="F471" s="52">
        <f t="shared" si="17"/>
        <v>0</v>
      </c>
    </row>
    <row r="472" spans="1:6">
      <c r="A472" s="268">
        <v>221101</v>
      </c>
      <c r="B472" s="269" t="s">
        <v>305</v>
      </c>
      <c r="C472" s="173">
        <v>0</v>
      </c>
      <c r="D472" s="173"/>
      <c r="E472" s="173"/>
      <c r="F472" s="173">
        <f t="shared" si="17"/>
        <v>0</v>
      </c>
    </row>
    <row r="473" spans="1:6">
      <c r="A473" s="268">
        <v>221102</v>
      </c>
      <c r="B473" s="269" t="s">
        <v>30</v>
      </c>
      <c r="C473" s="173">
        <v>0</v>
      </c>
      <c r="D473" s="173"/>
      <c r="E473" s="173"/>
      <c r="F473" s="173">
        <f t="shared" si="17"/>
        <v>0</v>
      </c>
    </row>
    <row r="474" spans="1:6">
      <c r="A474" s="217">
        <v>221103</v>
      </c>
      <c r="B474" s="218" t="s">
        <v>306</v>
      </c>
      <c r="C474" s="173">
        <v>0</v>
      </c>
      <c r="D474" s="173"/>
      <c r="E474" s="173"/>
      <c r="F474" s="173">
        <f t="shared" si="17"/>
        <v>0</v>
      </c>
    </row>
    <row r="475" spans="1:6">
      <c r="A475" s="246">
        <v>2221</v>
      </c>
      <c r="B475" s="247" t="s">
        <v>17</v>
      </c>
      <c r="C475" s="52">
        <f>SUBTOTAL(9,C476:C477)</f>
        <v>0</v>
      </c>
      <c r="D475" s="52">
        <f>SUM(D476:D477)</f>
        <v>0</v>
      </c>
      <c r="E475" s="52">
        <f>SUM(E476:E477)</f>
        <v>0</v>
      </c>
      <c r="F475" s="52">
        <f t="shared" si="17"/>
        <v>0</v>
      </c>
    </row>
    <row r="476" spans="1:6">
      <c r="A476" s="217">
        <v>222101</v>
      </c>
      <c r="B476" s="218" t="s">
        <v>18</v>
      </c>
      <c r="C476" s="173">
        <v>0</v>
      </c>
      <c r="D476" s="174"/>
      <c r="E476" s="173"/>
      <c r="F476" s="173">
        <f t="shared" si="17"/>
        <v>0</v>
      </c>
    </row>
    <row r="477" spans="1:6">
      <c r="A477" s="217">
        <v>222102</v>
      </c>
      <c r="B477" s="218" t="s">
        <v>19</v>
      </c>
      <c r="C477" s="174">
        <v>0</v>
      </c>
      <c r="D477" s="173"/>
      <c r="E477" s="173"/>
      <c r="F477" s="173">
        <f t="shared" si="17"/>
        <v>0</v>
      </c>
    </row>
    <row r="478" spans="1:6">
      <c r="A478" s="74">
        <v>2222</v>
      </c>
      <c r="B478" s="194" t="s">
        <v>20</v>
      </c>
      <c r="C478" s="52">
        <f>SUBTOTAL(9,C479:C480)</f>
        <v>0</v>
      </c>
      <c r="D478" s="52">
        <f>SUM(D479:D480)</f>
        <v>0</v>
      </c>
      <c r="E478" s="52">
        <f>SUM(E479:E480)</f>
        <v>0</v>
      </c>
      <c r="F478" s="52">
        <f t="shared" si="17"/>
        <v>0</v>
      </c>
    </row>
    <row r="479" spans="1:6">
      <c r="A479" s="217">
        <v>222201</v>
      </c>
      <c r="B479" s="218" t="s">
        <v>309</v>
      </c>
      <c r="C479" s="173">
        <v>0</v>
      </c>
      <c r="D479" s="173"/>
      <c r="E479" s="173"/>
      <c r="F479" s="174">
        <f t="shared" si="17"/>
        <v>0</v>
      </c>
    </row>
    <row r="480" spans="1:6">
      <c r="A480" s="217">
        <v>222202</v>
      </c>
      <c r="B480" s="218" t="s">
        <v>328</v>
      </c>
      <c r="C480" s="173">
        <v>0</v>
      </c>
      <c r="D480" s="174"/>
      <c r="E480" s="174"/>
      <c r="F480" s="174">
        <f t="shared" si="17"/>
        <v>0</v>
      </c>
    </row>
    <row r="481" spans="1:6">
      <c r="A481" s="246">
        <v>2223</v>
      </c>
      <c r="B481" s="247" t="s">
        <v>23</v>
      </c>
      <c r="C481" s="52">
        <f>SUBTOTAL(9,C482:C483)</f>
        <v>0</v>
      </c>
      <c r="D481" s="52">
        <f>SUM(D482:D483)</f>
        <v>0</v>
      </c>
      <c r="E481" s="52">
        <f>SUM(E482:E483)</f>
        <v>0</v>
      </c>
      <c r="F481" s="52">
        <f t="shared" si="17"/>
        <v>0</v>
      </c>
    </row>
    <row r="482" spans="1:6">
      <c r="A482" s="217">
        <v>222301</v>
      </c>
      <c r="B482" s="218" t="s">
        <v>310</v>
      </c>
      <c r="C482" s="173">
        <v>0</v>
      </c>
      <c r="D482" s="173"/>
      <c r="E482" s="174"/>
      <c r="F482" s="174">
        <f t="shared" si="17"/>
        <v>0</v>
      </c>
    </row>
    <row r="483" spans="1:6">
      <c r="A483" s="217">
        <v>222302</v>
      </c>
      <c r="B483" s="218" t="s">
        <v>24</v>
      </c>
      <c r="C483" s="173">
        <v>0</v>
      </c>
      <c r="D483" s="173"/>
      <c r="E483" s="174"/>
      <c r="F483" s="174">
        <f t="shared" si="17"/>
        <v>0</v>
      </c>
    </row>
    <row r="484" spans="1:6">
      <c r="A484" s="246">
        <v>2224</v>
      </c>
      <c r="B484" s="194" t="s">
        <v>330</v>
      </c>
      <c r="C484" s="52">
        <f>SUBTOTAL(9,C485:C488)</f>
        <v>0</v>
      </c>
      <c r="D484" s="52">
        <f>SUM(D485:D488)</f>
        <v>0</v>
      </c>
      <c r="E484" s="52">
        <f>SUM(E485:E488)</f>
        <v>0</v>
      </c>
      <c r="F484" s="52">
        <f t="shared" si="17"/>
        <v>0</v>
      </c>
    </row>
    <row r="485" spans="1:6">
      <c r="A485" s="217">
        <v>222401</v>
      </c>
      <c r="B485" s="218" t="s">
        <v>343</v>
      </c>
      <c r="C485" s="173">
        <v>0</v>
      </c>
      <c r="D485" s="174"/>
      <c r="E485" s="174"/>
      <c r="F485" s="174">
        <f t="shared" si="17"/>
        <v>0</v>
      </c>
    </row>
    <row r="486" spans="1:6">
      <c r="A486" s="217">
        <v>222403</v>
      </c>
      <c r="B486" s="218" t="s">
        <v>312</v>
      </c>
      <c r="C486" s="173"/>
      <c r="D486" s="174"/>
      <c r="E486" s="174"/>
      <c r="F486" s="174">
        <f t="shared" si="17"/>
        <v>0</v>
      </c>
    </row>
    <row r="487" spans="1:6">
      <c r="A487" s="217">
        <v>222404</v>
      </c>
      <c r="B487" s="218" t="s">
        <v>313</v>
      </c>
      <c r="C487" s="173"/>
      <c r="D487" s="174"/>
      <c r="E487" s="174"/>
      <c r="F487" s="174">
        <f t="shared" si="17"/>
        <v>0</v>
      </c>
    </row>
    <row r="488" spans="1:6" ht="16.5" customHeight="1">
      <c r="A488" s="217">
        <v>222405</v>
      </c>
      <c r="B488" s="218" t="s">
        <v>314</v>
      </c>
      <c r="C488" s="173"/>
      <c r="D488" s="174"/>
      <c r="E488" s="174"/>
      <c r="F488" s="174">
        <f t="shared" si="17"/>
        <v>0</v>
      </c>
    </row>
    <row r="489" spans="1:6">
      <c r="A489" s="74">
        <v>2225</v>
      </c>
      <c r="B489" s="194" t="s">
        <v>331</v>
      </c>
      <c r="C489" s="52">
        <f>SUBTOTAL(9,C490:C493)</f>
        <v>0</v>
      </c>
      <c r="D489" s="52">
        <f>SUM(D490:D493)</f>
        <v>0</v>
      </c>
      <c r="E489" s="52">
        <f>SUM(E490:E493)</f>
        <v>0</v>
      </c>
      <c r="F489" s="52">
        <f t="shared" si="17"/>
        <v>0</v>
      </c>
    </row>
    <row r="490" spans="1:6">
      <c r="A490" s="217">
        <v>222501</v>
      </c>
      <c r="B490" s="218" t="s">
        <v>315</v>
      </c>
      <c r="C490" s="174">
        <v>0</v>
      </c>
      <c r="D490" s="174"/>
      <c r="E490" s="173"/>
      <c r="F490" s="173">
        <f t="shared" si="17"/>
        <v>0</v>
      </c>
    </row>
    <row r="491" spans="1:6">
      <c r="A491" s="217">
        <v>222502</v>
      </c>
      <c r="B491" s="218" t="s">
        <v>316</v>
      </c>
      <c r="C491" s="174"/>
      <c r="D491" s="174"/>
      <c r="E491" s="173"/>
      <c r="F491" s="173">
        <f t="shared" si="17"/>
        <v>0</v>
      </c>
    </row>
    <row r="492" spans="1:6">
      <c r="A492" s="217">
        <v>222503</v>
      </c>
      <c r="B492" s="218" t="s">
        <v>317</v>
      </c>
      <c r="C492" s="174"/>
      <c r="D492" s="174"/>
      <c r="E492" s="173"/>
      <c r="F492" s="173">
        <f t="shared" si="17"/>
        <v>0</v>
      </c>
    </row>
    <row r="493" spans="1:6">
      <c r="A493" s="217">
        <v>222504</v>
      </c>
      <c r="B493" s="218" t="s">
        <v>318</v>
      </c>
      <c r="C493" s="174"/>
      <c r="D493" s="174"/>
      <c r="E493" s="173"/>
      <c r="F493" s="173">
        <f t="shared" si="17"/>
        <v>0</v>
      </c>
    </row>
    <row r="494" spans="1:6">
      <c r="A494" s="246">
        <v>2231</v>
      </c>
      <c r="B494" s="247" t="s">
        <v>21</v>
      </c>
      <c r="C494" s="52">
        <f>SUBTOTAL(9,C495:C495)</f>
        <v>0</v>
      </c>
      <c r="D494" s="52">
        <f>SUM(D495:D497)</f>
        <v>0</v>
      </c>
      <c r="E494" s="52">
        <f>SUM(E495:E497)</f>
        <v>0</v>
      </c>
      <c r="F494" s="52">
        <f t="shared" si="17"/>
        <v>0</v>
      </c>
    </row>
    <row r="495" spans="1:6">
      <c r="A495" s="217">
        <v>223101</v>
      </c>
      <c r="B495" s="218" t="s">
        <v>319</v>
      </c>
      <c r="C495" s="174">
        <v>0</v>
      </c>
      <c r="D495" s="173"/>
      <c r="E495" s="173"/>
      <c r="F495" s="173">
        <f t="shared" si="17"/>
        <v>0</v>
      </c>
    </row>
    <row r="496" spans="1:6">
      <c r="A496" s="217">
        <v>223102</v>
      </c>
      <c r="B496" s="218" t="s">
        <v>22</v>
      </c>
      <c r="C496" s="174"/>
      <c r="D496" s="173"/>
      <c r="E496" s="173"/>
      <c r="F496" s="173">
        <f t="shared" si="17"/>
        <v>0</v>
      </c>
    </row>
    <row r="497" spans="1:6">
      <c r="A497" s="217">
        <v>223103</v>
      </c>
      <c r="B497" s="218" t="s">
        <v>340</v>
      </c>
      <c r="C497" s="174"/>
      <c r="D497" s="173"/>
      <c r="E497" s="173"/>
      <c r="F497" s="173">
        <f t="shared" si="17"/>
        <v>0</v>
      </c>
    </row>
    <row r="498" spans="1:6">
      <c r="A498" s="246">
        <v>2244</v>
      </c>
      <c r="B498" s="247" t="s">
        <v>321</v>
      </c>
      <c r="C498" s="52">
        <f>SUBTOTAL(9,C499:C500)</f>
        <v>0</v>
      </c>
      <c r="D498" s="52">
        <f>SUM(D499:D500)</f>
        <v>0</v>
      </c>
      <c r="E498" s="52">
        <f>SUM(E499:E500)</f>
        <v>0</v>
      </c>
      <c r="F498" s="52">
        <f t="shared" si="17"/>
        <v>0</v>
      </c>
    </row>
    <row r="499" spans="1:6">
      <c r="A499" s="217">
        <v>224401</v>
      </c>
      <c r="B499" s="218" t="s">
        <v>344</v>
      </c>
      <c r="C499" s="174">
        <v>0</v>
      </c>
      <c r="D499" s="174"/>
      <c r="E499" s="174"/>
      <c r="F499" s="174">
        <f t="shared" si="17"/>
        <v>0</v>
      </c>
    </row>
    <row r="500" spans="1:6">
      <c r="A500" s="217">
        <v>224402</v>
      </c>
      <c r="B500" s="218" t="s">
        <v>323</v>
      </c>
      <c r="C500" s="173">
        <v>0</v>
      </c>
      <c r="D500" s="174"/>
      <c r="E500" s="174"/>
      <c r="F500" s="174">
        <f t="shared" si="17"/>
        <v>0</v>
      </c>
    </row>
    <row r="501" spans="1:6">
      <c r="A501" s="246">
        <v>2281</v>
      </c>
      <c r="B501" s="247" t="s">
        <v>348</v>
      </c>
      <c r="C501" s="283">
        <f>SUBTOTAL(9,C502:C502)</f>
        <v>0</v>
      </c>
      <c r="D501" s="283">
        <f>D502</f>
        <v>0</v>
      </c>
      <c r="E501" s="52">
        <f>E502</f>
        <v>0</v>
      </c>
      <c r="F501" s="52">
        <f t="shared" si="17"/>
        <v>0</v>
      </c>
    </row>
    <row r="502" spans="1:6">
      <c r="A502" s="217">
        <v>228101</v>
      </c>
      <c r="B502" s="218" t="s">
        <v>325</v>
      </c>
      <c r="C502" s="174">
        <v>0</v>
      </c>
      <c r="D502" s="174"/>
      <c r="E502" s="173"/>
      <c r="F502" s="173">
        <f t="shared" si="17"/>
        <v>0</v>
      </c>
    </row>
    <row r="503" spans="1:6" ht="55.75">
      <c r="A503" s="284">
        <v>20301</v>
      </c>
      <c r="B503" s="255" t="s">
        <v>47</v>
      </c>
      <c r="C503" s="174"/>
      <c r="D503" s="285" t="s">
        <v>261</v>
      </c>
      <c r="E503" s="285" t="s">
        <v>358</v>
      </c>
      <c r="F503" s="285" t="s">
        <v>359</v>
      </c>
    </row>
    <row r="504" spans="1:6">
      <c r="A504" s="286" t="s">
        <v>5</v>
      </c>
      <c r="B504" s="235" t="s">
        <v>65</v>
      </c>
      <c r="C504" s="174"/>
      <c r="D504" s="287">
        <f>D505+D515</f>
        <v>0</v>
      </c>
      <c r="E504" s="287">
        <f>E505+E515</f>
        <v>0</v>
      </c>
      <c r="F504" s="287">
        <f>E504/12</f>
        <v>0</v>
      </c>
    </row>
    <row r="505" spans="1:6">
      <c r="A505" s="288">
        <v>21</v>
      </c>
      <c r="B505" s="229" t="s">
        <v>6</v>
      </c>
      <c r="C505" s="174"/>
      <c r="D505" s="289">
        <f>D506</f>
        <v>0</v>
      </c>
      <c r="E505" s="289">
        <f>E506</f>
        <v>0</v>
      </c>
      <c r="F505" s="289">
        <f t="shared" ref="F505:F548" si="18">E505/12</f>
        <v>0</v>
      </c>
    </row>
    <row r="506" spans="1:6">
      <c r="A506" s="290">
        <v>211</v>
      </c>
      <c r="B506" s="86" t="s">
        <v>7</v>
      </c>
      <c r="C506" s="174"/>
      <c r="D506" s="291">
        <f>D507+D510+D513</f>
        <v>0</v>
      </c>
      <c r="E506" s="291">
        <f>E507+E510+E513</f>
        <v>0</v>
      </c>
      <c r="F506" s="291">
        <f t="shared" si="18"/>
        <v>0</v>
      </c>
    </row>
    <row r="507" spans="1:6">
      <c r="A507" s="292">
        <v>2111</v>
      </c>
      <c r="B507" s="75" t="s">
        <v>8</v>
      </c>
      <c r="C507" s="174"/>
      <c r="D507" s="293">
        <f>SUM(D508:D509)</f>
        <v>0</v>
      </c>
      <c r="E507" s="293">
        <f>SUM(E508:E509)</f>
        <v>0</v>
      </c>
      <c r="F507" s="293">
        <f t="shared" si="18"/>
        <v>0</v>
      </c>
    </row>
    <row r="508" spans="1:6">
      <c r="A508" s="294">
        <v>211101</v>
      </c>
      <c r="B508" s="218" t="s">
        <v>9</v>
      </c>
      <c r="C508" s="174"/>
      <c r="D508" s="173"/>
      <c r="E508" s="173"/>
      <c r="F508" s="173">
        <f t="shared" si="18"/>
        <v>0</v>
      </c>
    </row>
    <row r="509" spans="1:6">
      <c r="A509" s="294">
        <v>211106</v>
      </c>
      <c r="B509" s="218" t="s">
        <v>345</v>
      </c>
      <c r="C509" s="174"/>
      <c r="D509" s="173"/>
      <c r="E509" s="173"/>
      <c r="F509" s="173">
        <f t="shared" si="18"/>
        <v>0</v>
      </c>
    </row>
    <row r="510" spans="1:6">
      <c r="A510" s="292">
        <v>2113</v>
      </c>
      <c r="B510" s="75" t="s">
        <v>10</v>
      </c>
      <c r="C510" s="174"/>
      <c r="D510" s="293">
        <f>SUM(D511:D512)</f>
        <v>0</v>
      </c>
      <c r="E510" s="52">
        <f>SUM(E511:E512)</f>
        <v>0</v>
      </c>
      <c r="F510" s="52">
        <f t="shared" si="18"/>
        <v>0</v>
      </c>
    </row>
    <row r="511" spans="1:6">
      <c r="A511" s="294">
        <v>211301</v>
      </c>
      <c r="B511" s="218" t="s">
        <v>11</v>
      </c>
      <c r="C511" s="174"/>
      <c r="D511" s="216"/>
      <c r="E511" s="173"/>
      <c r="F511" s="173">
        <f t="shared" si="18"/>
        <v>0</v>
      </c>
    </row>
    <row r="512" spans="1:6">
      <c r="A512" s="294">
        <v>211306</v>
      </c>
      <c r="B512" s="218" t="s">
        <v>48</v>
      </c>
      <c r="C512" s="174"/>
      <c r="D512" s="173"/>
      <c r="E512" s="173"/>
      <c r="F512" s="173">
        <f t="shared" si="18"/>
        <v>0</v>
      </c>
    </row>
    <row r="513" spans="1:6">
      <c r="A513" s="292">
        <v>2115</v>
      </c>
      <c r="B513" s="75" t="s">
        <v>13</v>
      </c>
      <c r="C513" s="174"/>
      <c r="D513" s="293">
        <f>D514</f>
        <v>0</v>
      </c>
      <c r="E513" s="293">
        <f>E514</f>
        <v>0</v>
      </c>
      <c r="F513" s="293">
        <f t="shared" si="18"/>
        <v>0</v>
      </c>
    </row>
    <row r="514" spans="1:6" ht="18.75" customHeight="1">
      <c r="A514" s="294">
        <v>211501</v>
      </c>
      <c r="B514" s="218" t="s">
        <v>14</v>
      </c>
      <c r="C514" s="174"/>
      <c r="D514" s="216"/>
      <c r="E514" s="173"/>
      <c r="F514" s="173">
        <f t="shared" si="18"/>
        <v>0</v>
      </c>
    </row>
    <row r="515" spans="1:6">
      <c r="A515" s="288">
        <v>22</v>
      </c>
      <c r="B515" s="229" t="s">
        <v>15</v>
      </c>
      <c r="C515" s="174"/>
      <c r="D515" s="289">
        <f>D516</f>
        <v>0</v>
      </c>
      <c r="E515" s="289">
        <f>E516</f>
        <v>0</v>
      </c>
      <c r="F515" s="289">
        <f t="shared" si="18"/>
        <v>0</v>
      </c>
    </row>
    <row r="516" spans="1:6">
      <c r="A516" s="290">
        <v>221</v>
      </c>
      <c r="B516" s="86" t="s">
        <v>16</v>
      </c>
      <c r="C516" s="174"/>
      <c r="D516" s="291">
        <f>D517+D521+D524+D527+D530+D535+D540+D544+D547</f>
        <v>0</v>
      </c>
      <c r="E516" s="291">
        <f>E517+E521+E524+E527+E530+E535+E540+E544+E547</f>
        <v>0</v>
      </c>
      <c r="F516" s="291">
        <f t="shared" si="18"/>
        <v>0</v>
      </c>
    </row>
    <row r="517" spans="1:6">
      <c r="A517" s="74">
        <v>2211</v>
      </c>
      <c r="B517" s="194" t="s">
        <v>304</v>
      </c>
      <c r="C517" s="174"/>
      <c r="D517" s="293">
        <f>SUM(D518:D520)</f>
        <v>0</v>
      </c>
      <c r="E517" s="293">
        <f>SUM(E518:E520)</f>
        <v>0</v>
      </c>
      <c r="F517" s="293">
        <f t="shared" si="18"/>
        <v>0</v>
      </c>
    </row>
    <row r="518" spans="1:6">
      <c r="A518" s="268">
        <v>221101</v>
      </c>
      <c r="B518" s="269" t="s">
        <v>305</v>
      </c>
      <c r="C518" s="174"/>
      <c r="D518" s="173"/>
      <c r="E518" s="173"/>
      <c r="F518" s="173">
        <f>E518/12</f>
        <v>0</v>
      </c>
    </row>
    <row r="519" spans="1:6">
      <c r="A519" s="268">
        <v>221102</v>
      </c>
      <c r="B519" s="269" t="s">
        <v>30</v>
      </c>
      <c r="C519" s="174"/>
      <c r="D519" s="173"/>
      <c r="E519" s="174"/>
      <c r="F519" s="173">
        <f t="shared" si="18"/>
        <v>0</v>
      </c>
    </row>
    <row r="520" spans="1:6">
      <c r="A520" s="217">
        <v>221103</v>
      </c>
      <c r="B520" s="218" t="s">
        <v>306</v>
      </c>
      <c r="C520" s="174"/>
      <c r="D520" s="173"/>
      <c r="E520" s="174"/>
      <c r="F520" s="173">
        <f t="shared" si="18"/>
        <v>0</v>
      </c>
    </row>
    <row r="521" spans="1:6">
      <c r="A521" s="246">
        <v>2221</v>
      </c>
      <c r="B521" s="194" t="s">
        <v>17</v>
      </c>
      <c r="C521" s="174"/>
      <c r="D521" s="293">
        <f>SUM(D522:D523)</f>
        <v>0</v>
      </c>
      <c r="E521" s="293">
        <f>SUM(E522:E523)</f>
        <v>0</v>
      </c>
      <c r="F521" s="293">
        <f t="shared" si="18"/>
        <v>0</v>
      </c>
    </row>
    <row r="522" spans="1:6">
      <c r="A522" s="217">
        <v>222101</v>
      </c>
      <c r="B522" s="218" t="s">
        <v>18</v>
      </c>
      <c r="C522" s="174"/>
      <c r="D522" s="173"/>
      <c r="E522" s="174"/>
      <c r="F522" s="174">
        <f>E522/12</f>
        <v>0</v>
      </c>
    </row>
    <row r="523" spans="1:6">
      <c r="A523" s="217">
        <v>222102</v>
      </c>
      <c r="B523" s="218" t="s">
        <v>19</v>
      </c>
      <c r="C523" s="174"/>
      <c r="D523" s="216"/>
      <c r="E523" s="216"/>
      <c r="F523" s="174">
        <f t="shared" si="18"/>
        <v>0</v>
      </c>
    </row>
    <row r="524" spans="1:6">
      <c r="A524" s="74">
        <v>2222</v>
      </c>
      <c r="B524" s="194" t="s">
        <v>20</v>
      </c>
      <c r="C524" s="174"/>
      <c r="D524" s="293">
        <f>SUM(D525:D526)</f>
        <v>0</v>
      </c>
      <c r="E524" s="293">
        <f>SUM(E525:E526)</f>
        <v>0</v>
      </c>
      <c r="F524" s="293">
        <f t="shared" si="18"/>
        <v>0</v>
      </c>
    </row>
    <row r="525" spans="1:6">
      <c r="A525" s="217">
        <v>222201</v>
      </c>
      <c r="B525" s="218" t="s">
        <v>309</v>
      </c>
      <c r="C525" s="174"/>
      <c r="D525" s="173"/>
      <c r="E525" s="173"/>
      <c r="F525" s="173">
        <f t="shared" si="18"/>
        <v>0</v>
      </c>
    </row>
    <row r="526" spans="1:6">
      <c r="A526" s="217">
        <v>222202</v>
      </c>
      <c r="B526" s="218" t="s">
        <v>328</v>
      </c>
      <c r="C526" s="174"/>
      <c r="D526" s="173"/>
      <c r="E526" s="173"/>
      <c r="F526" s="173">
        <f t="shared" si="18"/>
        <v>0</v>
      </c>
    </row>
    <row r="527" spans="1:6">
      <c r="A527" s="246">
        <v>2223</v>
      </c>
      <c r="B527" s="194" t="s">
        <v>23</v>
      </c>
      <c r="C527" s="174"/>
      <c r="D527" s="293">
        <f>SUM(D528:D529)</f>
        <v>0</v>
      </c>
      <c r="E527" s="52">
        <f>SUM(E528:E529)</f>
        <v>0</v>
      </c>
      <c r="F527" s="52">
        <f t="shared" si="18"/>
        <v>0</v>
      </c>
    </row>
    <row r="528" spans="1:6">
      <c r="A528" s="217">
        <v>222301</v>
      </c>
      <c r="B528" s="218" t="s">
        <v>310</v>
      </c>
      <c r="C528" s="174"/>
      <c r="D528" s="173"/>
      <c r="E528" s="173"/>
      <c r="F528" s="173">
        <f t="shared" si="18"/>
        <v>0</v>
      </c>
    </row>
    <row r="529" spans="1:6">
      <c r="A529" s="217">
        <v>222302</v>
      </c>
      <c r="B529" s="218" t="s">
        <v>24</v>
      </c>
      <c r="C529" s="174"/>
      <c r="D529" s="216"/>
      <c r="E529" s="173"/>
      <c r="F529" s="173">
        <f t="shared" si="18"/>
        <v>0</v>
      </c>
    </row>
    <row r="530" spans="1:6">
      <c r="A530" s="246">
        <v>2224</v>
      </c>
      <c r="B530" s="194" t="s">
        <v>330</v>
      </c>
      <c r="C530" s="174"/>
      <c r="D530" s="52">
        <f>SUM(D531:D534)</f>
        <v>0</v>
      </c>
      <c r="E530" s="52">
        <f>SUM(E531:E534)</f>
        <v>0</v>
      </c>
      <c r="F530" s="52">
        <f t="shared" si="18"/>
        <v>0</v>
      </c>
    </row>
    <row r="531" spans="1:6">
      <c r="A531" s="217">
        <v>222401</v>
      </c>
      <c r="B531" s="218" t="s">
        <v>343</v>
      </c>
      <c r="C531" s="174"/>
      <c r="D531" s="216"/>
      <c r="E531" s="216"/>
      <c r="F531" s="216">
        <f t="shared" si="18"/>
        <v>0</v>
      </c>
    </row>
    <row r="532" spans="1:6">
      <c r="A532" s="217">
        <v>222403</v>
      </c>
      <c r="B532" s="218" t="s">
        <v>312</v>
      </c>
      <c r="C532" s="174"/>
      <c r="D532" s="216"/>
      <c r="E532" s="216"/>
      <c r="F532" s="216">
        <f t="shared" si="18"/>
        <v>0</v>
      </c>
    </row>
    <row r="533" spans="1:6">
      <c r="A533" s="217">
        <v>222404</v>
      </c>
      <c r="B533" s="218" t="s">
        <v>313</v>
      </c>
      <c r="C533" s="174"/>
      <c r="D533" s="216"/>
      <c r="E533" s="216"/>
      <c r="F533" s="216">
        <f t="shared" si="18"/>
        <v>0</v>
      </c>
    </row>
    <row r="534" spans="1:6">
      <c r="A534" s="217">
        <v>222405</v>
      </c>
      <c r="B534" s="218" t="s">
        <v>314</v>
      </c>
      <c r="C534" s="174"/>
      <c r="D534" s="216"/>
      <c r="E534" s="216"/>
      <c r="F534" s="216">
        <f t="shared" si="18"/>
        <v>0</v>
      </c>
    </row>
    <row r="535" spans="1:6">
      <c r="A535" s="74">
        <v>2225</v>
      </c>
      <c r="B535" s="194" t="s">
        <v>331</v>
      </c>
      <c r="C535" s="174"/>
      <c r="D535" s="52">
        <f>SUM(D536:D539)</f>
        <v>0</v>
      </c>
      <c r="E535" s="52">
        <f>SUM(E536:E539)</f>
        <v>0</v>
      </c>
      <c r="F535" s="52">
        <f t="shared" si="18"/>
        <v>0</v>
      </c>
    </row>
    <row r="536" spans="1:6">
      <c r="A536" s="217">
        <v>222501</v>
      </c>
      <c r="B536" s="218" t="s">
        <v>315</v>
      </c>
      <c r="C536" s="174"/>
      <c r="D536" s="173"/>
      <c r="E536" s="173"/>
      <c r="F536" s="173">
        <f t="shared" si="18"/>
        <v>0</v>
      </c>
    </row>
    <row r="537" spans="1:6">
      <c r="A537" s="217">
        <v>222502</v>
      </c>
      <c r="B537" s="218" t="s">
        <v>316</v>
      </c>
      <c r="C537" s="174"/>
      <c r="D537" s="173"/>
      <c r="E537" s="173"/>
      <c r="F537" s="173">
        <f t="shared" si="18"/>
        <v>0</v>
      </c>
    </row>
    <row r="538" spans="1:6">
      <c r="A538" s="217">
        <v>222503</v>
      </c>
      <c r="B538" s="218" t="s">
        <v>317</v>
      </c>
      <c r="C538" s="174"/>
      <c r="D538" s="173"/>
      <c r="E538" s="173"/>
      <c r="F538" s="173">
        <f t="shared" si="18"/>
        <v>0</v>
      </c>
    </row>
    <row r="539" spans="1:6">
      <c r="A539" s="217">
        <v>222504</v>
      </c>
      <c r="B539" s="218" t="s">
        <v>318</v>
      </c>
      <c r="C539" s="174"/>
      <c r="D539" s="173"/>
      <c r="E539" s="173"/>
      <c r="F539" s="173">
        <f t="shared" si="18"/>
        <v>0</v>
      </c>
    </row>
    <row r="540" spans="1:6">
      <c r="A540" s="246">
        <v>2231</v>
      </c>
      <c r="B540" s="247" t="s">
        <v>21</v>
      </c>
      <c r="C540" s="174"/>
      <c r="D540" s="52">
        <f>SUM(D541:D543)</f>
        <v>0</v>
      </c>
      <c r="E540" s="52">
        <f>SUM(E541:E543)</f>
        <v>0</v>
      </c>
      <c r="F540" s="52">
        <f t="shared" si="18"/>
        <v>0</v>
      </c>
    </row>
    <row r="541" spans="1:6">
      <c r="A541" s="217">
        <v>223101</v>
      </c>
      <c r="B541" s="218" t="s">
        <v>319</v>
      </c>
      <c r="C541" s="174"/>
      <c r="D541" s="295"/>
      <c r="E541" s="173"/>
      <c r="F541" s="173">
        <f t="shared" si="18"/>
        <v>0</v>
      </c>
    </row>
    <row r="542" spans="1:6">
      <c r="A542" s="217">
        <v>223102</v>
      </c>
      <c r="B542" s="218" t="s">
        <v>22</v>
      </c>
      <c r="C542" s="174"/>
      <c r="D542" s="295"/>
      <c r="E542" s="173"/>
      <c r="F542" s="173">
        <f t="shared" si="18"/>
        <v>0</v>
      </c>
    </row>
    <row r="543" spans="1:6">
      <c r="A543" s="217">
        <v>223103</v>
      </c>
      <c r="B543" s="218" t="s">
        <v>340</v>
      </c>
      <c r="C543" s="174"/>
      <c r="D543" s="295"/>
      <c r="E543" s="173"/>
      <c r="F543" s="173">
        <f t="shared" si="18"/>
        <v>0</v>
      </c>
    </row>
    <row r="544" spans="1:6">
      <c r="A544" s="246">
        <v>2244</v>
      </c>
      <c r="B544" s="247" t="s">
        <v>321</v>
      </c>
      <c r="C544" s="174"/>
      <c r="D544" s="52">
        <f>SUM(D545:D546)</f>
        <v>0</v>
      </c>
      <c r="E544" s="52">
        <f>SUM(E545:E546)</f>
        <v>0</v>
      </c>
      <c r="F544" s="52">
        <f t="shared" si="18"/>
        <v>0</v>
      </c>
    </row>
    <row r="545" spans="1:6">
      <c r="A545" s="217">
        <v>224401</v>
      </c>
      <c r="B545" s="218" t="s">
        <v>344</v>
      </c>
      <c r="C545" s="174"/>
      <c r="D545" s="295"/>
      <c r="E545" s="174"/>
      <c r="F545" s="174">
        <f t="shared" si="18"/>
        <v>0</v>
      </c>
    </row>
    <row r="546" spans="1:6">
      <c r="A546" s="217">
        <v>224402</v>
      </c>
      <c r="B546" s="218" t="s">
        <v>323</v>
      </c>
      <c r="C546" s="174"/>
      <c r="D546" s="216"/>
      <c r="E546" s="216"/>
      <c r="F546" s="174">
        <f t="shared" si="18"/>
        <v>0</v>
      </c>
    </row>
    <row r="547" spans="1:6">
      <c r="A547" s="246">
        <v>2281</v>
      </c>
      <c r="B547" s="247" t="s">
        <v>13</v>
      </c>
      <c r="C547" s="174"/>
      <c r="D547" s="52">
        <f>D548</f>
        <v>0</v>
      </c>
      <c r="E547" s="52">
        <f>E548</f>
        <v>0</v>
      </c>
      <c r="F547" s="52">
        <f t="shared" si="18"/>
        <v>0</v>
      </c>
    </row>
    <row r="548" spans="1:6" ht="14.05" customHeight="1">
      <c r="A548" s="217">
        <v>228101</v>
      </c>
      <c r="B548" s="218" t="s">
        <v>325</v>
      </c>
      <c r="C548" s="174"/>
      <c r="D548" s="216"/>
      <c r="E548" s="173"/>
      <c r="F548" s="173">
        <f t="shared" si="18"/>
        <v>0</v>
      </c>
    </row>
    <row r="549" spans="1:6" ht="55.75">
      <c r="A549" s="296">
        <v>20401</v>
      </c>
      <c r="B549" s="297" t="s">
        <v>49</v>
      </c>
      <c r="C549" s="169" t="s">
        <v>0</v>
      </c>
      <c r="D549" s="169" t="s">
        <v>261</v>
      </c>
      <c r="E549" s="237" t="s">
        <v>361</v>
      </c>
      <c r="F549" s="169" t="s">
        <v>362</v>
      </c>
    </row>
    <row r="550" spans="1:6">
      <c r="A550" s="280" t="s">
        <v>5</v>
      </c>
      <c r="B550" s="281" t="s">
        <v>65</v>
      </c>
      <c r="C550" s="282" t="e">
        <f>C551+C561</f>
        <v>#REF!</v>
      </c>
      <c r="D550" s="282">
        <f>D551+D561</f>
        <v>0</v>
      </c>
      <c r="E550" s="282">
        <f>E561+E551</f>
        <v>0</v>
      </c>
      <c r="F550" s="282">
        <f>E550/12</f>
        <v>0</v>
      </c>
    </row>
    <row r="551" spans="1:6">
      <c r="A551" s="298">
        <v>21</v>
      </c>
      <c r="B551" s="299" t="s">
        <v>6</v>
      </c>
      <c r="C551" s="300">
        <f>C552</f>
        <v>360000</v>
      </c>
      <c r="D551" s="300">
        <f>D552</f>
        <v>0</v>
      </c>
      <c r="E551" s="300">
        <f>E552</f>
        <v>0</v>
      </c>
      <c r="F551" s="300">
        <f>E551/12</f>
        <v>0</v>
      </c>
    </row>
    <row r="552" spans="1:6">
      <c r="A552" s="301">
        <v>211</v>
      </c>
      <c r="B552" s="302" t="s">
        <v>7</v>
      </c>
      <c r="C552" s="303">
        <f>C553+C555+C557+C559</f>
        <v>360000</v>
      </c>
      <c r="D552" s="303">
        <f>D553+D555+D557+D559</f>
        <v>0</v>
      </c>
      <c r="E552" s="303">
        <f>E553+E555+E557+E559</f>
        <v>0</v>
      </c>
      <c r="F552" s="303">
        <f t="shared" ref="F552:F598" si="19">E552/12</f>
        <v>0</v>
      </c>
    </row>
    <row r="553" spans="1:6">
      <c r="A553" s="230">
        <v>2111</v>
      </c>
      <c r="B553" s="231" t="s">
        <v>8</v>
      </c>
      <c r="C553" s="304">
        <f>SUBTOTAL(9,C554)</f>
        <v>300000</v>
      </c>
      <c r="D553" s="304">
        <f>D554</f>
        <v>0</v>
      </c>
      <c r="E553" s="52">
        <f>E554</f>
        <v>0</v>
      </c>
      <c r="F553" s="52">
        <f t="shared" si="19"/>
        <v>0</v>
      </c>
    </row>
    <row r="554" spans="1:6">
      <c r="A554" s="232">
        <v>211107</v>
      </c>
      <c r="B554" s="233" t="s">
        <v>346</v>
      </c>
      <c r="C554" s="176">
        <v>300000</v>
      </c>
      <c r="D554" s="176"/>
      <c r="E554" s="173"/>
      <c r="F554" s="173">
        <f t="shared" si="19"/>
        <v>0</v>
      </c>
    </row>
    <row r="555" spans="1:6" ht="16.5" customHeight="1">
      <c r="A555" s="230">
        <v>2112</v>
      </c>
      <c r="B555" s="231" t="s">
        <v>50</v>
      </c>
      <c r="C555" s="304">
        <f>SUBTOTAL(9,C556)</f>
        <v>0</v>
      </c>
      <c r="D555" s="304">
        <f>SUM(D556:D556)</f>
        <v>0</v>
      </c>
      <c r="E555" s="304">
        <f>SUM(E556:E556)</f>
        <v>0</v>
      </c>
      <c r="F555" s="304">
        <f t="shared" si="19"/>
        <v>0</v>
      </c>
    </row>
    <row r="556" spans="1:6">
      <c r="A556" s="232">
        <v>211201</v>
      </c>
      <c r="B556" s="233" t="s">
        <v>347</v>
      </c>
      <c r="C556" s="177">
        <v>0</v>
      </c>
      <c r="D556" s="177"/>
      <c r="E556" s="173"/>
      <c r="F556" s="173">
        <f t="shared" si="19"/>
        <v>0</v>
      </c>
    </row>
    <row r="557" spans="1:6">
      <c r="A557" s="230">
        <v>2113</v>
      </c>
      <c r="B557" s="231" t="s">
        <v>10</v>
      </c>
      <c r="C557" s="304">
        <f>SUBTOTAL(9,C558:C558)</f>
        <v>60000</v>
      </c>
      <c r="D557" s="304">
        <f>D558</f>
        <v>0</v>
      </c>
      <c r="E557" s="304">
        <f>E558</f>
        <v>0</v>
      </c>
      <c r="F557" s="304">
        <f t="shared" si="19"/>
        <v>0</v>
      </c>
    </row>
    <row r="558" spans="1:6">
      <c r="A558" s="232">
        <v>211307</v>
      </c>
      <c r="B558" s="233" t="s">
        <v>350</v>
      </c>
      <c r="C558" s="176">
        <v>60000</v>
      </c>
      <c r="D558" s="176"/>
      <c r="E558" s="173"/>
      <c r="F558" s="173">
        <f t="shared" si="19"/>
        <v>0</v>
      </c>
    </row>
    <row r="559" spans="1:6" ht="14.25" customHeight="1">
      <c r="A559" s="230">
        <v>2115</v>
      </c>
      <c r="B559" s="231" t="s">
        <v>13</v>
      </c>
      <c r="C559" s="304">
        <f>SUBTOTAL(9,C560)</f>
        <v>0</v>
      </c>
      <c r="D559" s="304">
        <f>D560</f>
        <v>0</v>
      </c>
      <c r="E559" s="304">
        <f>E560</f>
        <v>0</v>
      </c>
      <c r="F559" s="304">
        <f t="shared" si="19"/>
        <v>0</v>
      </c>
    </row>
    <row r="560" spans="1:6" ht="17.05" customHeight="1">
      <c r="A560" s="232">
        <v>211501</v>
      </c>
      <c r="B560" s="233" t="s">
        <v>14</v>
      </c>
      <c r="C560" s="177">
        <v>0</v>
      </c>
      <c r="D560" s="177"/>
      <c r="E560" s="174"/>
      <c r="F560" s="174">
        <f t="shared" si="19"/>
        <v>0</v>
      </c>
    </row>
    <row r="561" spans="1:6">
      <c r="A561" s="298">
        <v>22</v>
      </c>
      <c r="B561" s="299" t="s">
        <v>15</v>
      </c>
      <c r="C561" s="300" t="e">
        <f>C562+#REF!+#REF!</f>
        <v>#REF!</v>
      </c>
      <c r="D561" s="300">
        <f>D562</f>
        <v>0</v>
      </c>
      <c r="E561" s="300">
        <f>E562</f>
        <v>0</v>
      </c>
      <c r="F561" s="300">
        <f t="shared" si="19"/>
        <v>0</v>
      </c>
    </row>
    <row r="562" spans="1:6">
      <c r="A562" s="301">
        <v>221</v>
      </c>
      <c r="B562" s="302" t="s">
        <v>16</v>
      </c>
      <c r="C562" s="305">
        <f>C563+C567+C571+C574+C577</f>
        <v>6000</v>
      </c>
      <c r="D562" s="305">
        <f>D563+D567+D571+D574+D577+D582+D587+D591+D597</f>
        <v>0</v>
      </c>
      <c r="E562" s="305">
        <f>E563+E567+E571+E574+E577+E582+E587+E591+E597</f>
        <v>0</v>
      </c>
      <c r="F562" s="305">
        <f t="shared" si="19"/>
        <v>0</v>
      </c>
    </row>
    <row r="563" spans="1:6">
      <c r="A563" s="74">
        <v>2211</v>
      </c>
      <c r="B563" s="194" t="s">
        <v>304</v>
      </c>
      <c r="C563" s="304">
        <f>SUBTOTAL(9,C564:C566)</f>
        <v>2400</v>
      </c>
      <c r="D563" s="304">
        <f>SUM(D564:D566)</f>
        <v>0</v>
      </c>
      <c r="E563" s="52">
        <f>SUM(E564:E566)</f>
        <v>0</v>
      </c>
      <c r="F563" s="52">
        <f t="shared" si="19"/>
        <v>0</v>
      </c>
    </row>
    <row r="564" spans="1:6">
      <c r="A564" s="268">
        <v>221101</v>
      </c>
      <c r="B564" s="269" t="s">
        <v>305</v>
      </c>
      <c r="C564" s="176">
        <v>600</v>
      </c>
      <c r="D564" s="176"/>
      <c r="E564" s="173"/>
      <c r="F564" s="173">
        <f t="shared" si="19"/>
        <v>0</v>
      </c>
    </row>
    <row r="565" spans="1:6">
      <c r="A565" s="268">
        <v>221102</v>
      </c>
      <c r="B565" s="269" t="s">
        <v>30</v>
      </c>
      <c r="C565" s="176">
        <v>600</v>
      </c>
      <c r="D565" s="176"/>
      <c r="E565" s="173"/>
      <c r="F565" s="173">
        <f t="shared" si="19"/>
        <v>0</v>
      </c>
    </row>
    <row r="566" spans="1:6">
      <c r="A566" s="217">
        <v>221103</v>
      </c>
      <c r="B566" s="218" t="s">
        <v>306</v>
      </c>
      <c r="C566" s="176">
        <v>1200</v>
      </c>
      <c r="D566" s="176"/>
      <c r="E566" s="173"/>
      <c r="F566" s="173">
        <f t="shared" si="19"/>
        <v>0</v>
      </c>
    </row>
    <row r="567" spans="1:6">
      <c r="A567" s="246">
        <v>2221</v>
      </c>
      <c r="B567" s="247" t="s">
        <v>17</v>
      </c>
      <c r="C567" s="304">
        <f>SUBTOTAL(9,C568:C569)</f>
        <v>0</v>
      </c>
      <c r="D567" s="304">
        <f>SUM(D568:D570)</f>
        <v>0</v>
      </c>
      <c r="E567" s="52">
        <f>SUM(E568:E570)</f>
        <v>0</v>
      </c>
      <c r="F567" s="52">
        <f>E567/12</f>
        <v>0</v>
      </c>
    </row>
    <row r="568" spans="1:6">
      <c r="A568" s="217">
        <v>222101</v>
      </c>
      <c r="B568" s="218" t="s">
        <v>18</v>
      </c>
      <c r="C568" s="177">
        <v>0</v>
      </c>
      <c r="D568" s="177"/>
      <c r="E568" s="173"/>
      <c r="F568" s="173">
        <f t="shared" si="19"/>
        <v>0</v>
      </c>
    </row>
    <row r="569" spans="1:6">
      <c r="A569" s="217">
        <v>222102</v>
      </c>
      <c r="B569" s="218" t="s">
        <v>19</v>
      </c>
      <c r="C569" s="177">
        <v>0</v>
      </c>
      <c r="D569" s="177"/>
      <c r="E569" s="173"/>
      <c r="F569" s="173">
        <f t="shared" si="19"/>
        <v>0</v>
      </c>
    </row>
    <row r="570" spans="1:6">
      <c r="A570" s="217">
        <v>222104</v>
      </c>
      <c r="B570" s="218" t="s">
        <v>387</v>
      </c>
      <c r="C570" s="177"/>
      <c r="D570" s="177"/>
      <c r="E570" s="173"/>
      <c r="F570" s="173">
        <f>E570/12</f>
        <v>0</v>
      </c>
    </row>
    <row r="571" spans="1:6">
      <c r="A571" s="74">
        <v>2222</v>
      </c>
      <c r="B571" s="194" t="s">
        <v>20</v>
      </c>
      <c r="C571" s="304">
        <f>SUBTOTAL(9,C572:C573)</f>
        <v>2400</v>
      </c>
      <c r="D571" s="304">
        <f>SUM(D572:D573)</f>
        <v>0</v>
      </c>
      <c r="E571" s="304">
        <f>SUM(E572:E573)</f>
        <v>0</v>
      </c>
      <c r="F571" s="304">
        <f t="shared" si="19"/>
        <v>0</v>
      </c>
    </row>
    <row r="572" spans="1:6">
      <c r="A572" s="217">
        <v>222201</v>
      </c>
      <c r="B572" s="218" t="s">
        <v>309</v>
      </c>
      <c r="C572" s="176">
        <v>1200</v>
      </c>
      <c r="D572" s="176"/>
      <c r="E572" s="176"/>
      <c r="F572" s="175">
        <f t="shared" si="19"/>
        <v>0</v>
      </c>
    </row>
    <row r="573" spans="1:6">
      <c r="A573" s="217">
        <v>222202</v>
      </c>
      <c r="B573" s="218" t="s">
        <v>328</v>
      </c>
      <c r="C573" s="176">
        <v>1200</v>
      </c>
      <c r="D573" s="176"/>
      <c r="E573" s="175"/>
      <c r="F573" s="175">
        <f t="shared" si="19"/>
        <v>0</v>
      </c>
    </row>
    <row r="574" spans="1:6">
      <c r="A574" s="246">
        <v>2223</v>
      </c>
      <c r="B574" s="247" t="s">
        <v>23</v>
      </c>
      <c r="C574" s="304">
        <f>SUBTOTAL(9,C575:C576)</f>
        <v>0</v>
      </c>
      <c r="D574" s="304">
        <f>SUM(D575:D576)</f>
        <v>0</v>
      </c>
      <c r="E574" s="304">
        <f>SUM(E575:E576)</f>
        <v>0</v>
      </c>
      <c r="F574" s="304">
        <f t="shared" si="19"/>
        <v>0</v>
      </c>
    </row>
    <row r="575" spans="1:6">
      <c r="A575" s="217">
        <v>222301</v>
      </c>
      <c r="B575" s="218" t="s">
        <v>310</v>
      </c>
      <c r="C575" s="177">
        <v>0</v>
      </c>
      <c r="D575" s="177"/>
      <c r="E575" s="177"/>
      <c r="F575" s="173">
        <f t="shared" si="19"/>
        <v>0</v>
      </c>
    </row>
    <row r="576" spans="1:6">
      <c r="A576" s="217">
        <v>222302</v>
      </c>
      <c r="B576" s="218" t="s">
        <v>24</v>
      </c>
      <c r="C576" s="177">
        <v>0</v>
      </c>
      <c r="D576" s="177"/>
      <c r="E576" s="173"/>
      <c r="F576" s="173">
        <f t="shared" si="19"/>
        <v>0</v>
      </c>
    </row>
    <row r="577" spans="1:6">
      <c r="A577" s="246">
        <v>2224</v>
      </c>
      <c r="B577" s="194" t="s">
        <v>330</v>
      </c>
      <c r="C577" s="304">
        <f>SUBTOTAL(9,C578:C578)</f>
        <v>1200</v>
      </c>
      <c r="D577" s="304">
        <f>SUM(D578:D581)</f>
        <v>0</v>
      </c>
      <c r="E577" s="304">
        <f>SUM(E578:E581)</f>
        <v>0</v>
      </c>
      <c r="F577" s="304">
        <f t="shared" si="19"/>
        <v>0</v>
      </c>
    </row>
    <row r="578" spans="1:6">
      <c r="A578" s="217">
        <v>222401</v>
      </c>
      <c r="B578" s="218" t="s">
        <v>343</v>
      </c>
      <c r="C578" s="176">
        <v>1200</v>
      </c>
      <c r="D578" s="176"/>
      <c r="E578" s="173"/>
      <c r="F578" s="173">
        <f t="shared" si="19"/>
        <v>0</v>
      </c>
    </row>
    <row r="579" spans="1:6">
      <c r="A579" s="217">
        <v>222403</v>
      </c>
      <c r="B579" s="218" t="s">
        <v>312</v>
      </c>
      <c r="C579" s="176"/>
      <c r="D579" s="176"/>
      <c r="E579" s="173"/>
      <c r="F579" s="173">
        <f t="shared" si="19"/>
        <v>0</v>
      </c>
    </row>
    <row r="580" spans="1:6">
      <c r="A580" s="217">
        <v>222404</v>
      </c>
      <c r="B580" s="218" t="s">
        <v>313</v>
      </c>
      <c r="C580" s="176"/>
      <c r="D580" s="176"/>
      <c r="E580" s="173"/>
      <c r="F580" s="173">
        <f t="shared" si="19"/>
        <v>0</v>
      </c>
    </row>
    <row r="581" spans="1:6">
      <c r="A581" s="217">
        <v>222405</v>
      </c>
      <c r="B581" s="218" t="s">
        <v>314</v>
      </c>
      <c r="C581" s="176"/>
      <c r="D581" s="176"/>
      <c r="E581" s="173"/>
      <c r="F581" s="173">
        <f t="shared" si="19"/>
        <v>0</v>
      </c>
    </row>
    <row r="582" spans="1:6">
      <c r="A582" s="74">
        <v>2225</v>
      </c>
      <c r="B582" s="194" t="s">
        <v>331</v>
      </c>
      <c r="C582" s="304">
        <f>SUBTOTAL(9,C583:C583)</f>
        <v>8400</v>
      </c>
      <c r="D582" s="304">
        <f>SUM(D583:D586)</f>
        <v>0</v>
      </c>
      <c r="E582" s="304">
        <f>SUM(E583:E586)</f>
        <v>0</v>
      </c>
      <c r="F582" s="304">
        <f t="shared" si="19"/>
        <v>0</v>
      </c>
    </row>
    <row r="583" spans="1:6">
      <c r="A583" s="217">
        <v>222501</v>
      </c>
      <c r="B583" s="218" t="s">
        <v>315</v>
      </c>
      <c r="C583" s="177">
        <v>8400</v>
      </c>
      <c r="D583" s="177"/>
      <c r="E583" s="174"/>
      <c r="F583" s="174">
        <f t="shared" si="19"/>
        <v>0</v>
      </c>
    </row>
    <row r="584" spans="1:6">
      <c r="A584" s="217">
        <v>222502</v>
      </c>
      <c r="B584" s="218" t="s">
        <v>316</v>
      </c>
      <c r="C584" s="177"/>
      <c r="D584" s="177"/>
      <c r="E584" s="174"/>
      <c r="F584" s="174">
        <f t="shared" si="19"/>
        <v>0</v>
      </c>
    </row>
    <row r="585" spans="1:6">
      <c r="A585" s="217">
        <v>222503</v>
      </c>
      <c r="B585" s="218" t="s">
        <v>317</v>
      </c>
      <c r="C585" s="177"/>
      <c r="D585" s="177"/>
      <c r="E585" s="174"/>
      <c r="F585" s="174">
        <f t="shared" si="19"/>
        <v>0</v>
      </c>
    </row>
    <row r="586" spans="1:6">
      <c r="A586" s="217">
        <v>222504</v>
      </c>
      <c r="B586" s="218" t="s">
        <v>318</v>
      </c>
      <c r="C586" s="177"/>
      <c r="D586" s="177"/>
      <c r="E586" s="174"/>
      <c r="F586" s="174">
        <f t="shared" si="19"/>
        <v>0</v>
      </c>
    </row>
    <row r="587" spans="1:6">
      <c r="A587" s="246">
        <v>2231</v>
      </c>
      <c r="B587" s="247" t="s">
        <v>21</v>
      </c>
      <c r="C587" s="174"/>
      <c r="D587" s="52">
        <f>SUM(D588:D590)</f>
        <v>0</v>
      </c>
      <c r="E587" s="52">
        <f>SUM(E588:E590)</f>
        <v>0</v>
      </c>
      <c r="F587" s="52">
        <f t="shared" si="19"/>
        <v>0</v>
      </c>
    </row>
    <row r="588" spans="1:6">
      <c r="A588" s="217">
        <v>223101</v>
      </c>
      <c r="B588" s="218" t="s">
        <v>319</v>
      </c>
      <c r="C588" s="174"/>
      <c r="D588" s="295"/>
      <c r="E588" s="173"/>
      <c r="F588" s="173">
        <f t="shared" si="19"/>
        <v>0</v>
      </c>
    </row>
    <row r="589" spans="1:6">
      <c r="A589" s="217">
        <v>223102</v>
      </c>
      <c r="B589" s="218" t="s">
        <v>22</v>
      </c>
      <c r="C589" s="174"/>
      <c r="D589" s="295"/>
      <c r="E589" s="173"/>
      <c r="F589" s="173">
        <f t="shared" si="19"/>
        <v>0</v>
      </c>
    </row>
    <row r="590" spans="1:6">
      <c r="A590" s="217">
        <v>223103</v>
      </c>
      <c r="B590" s="218" t="s">
        <v>340</v>
      </c>
      <c r="C590" s="174"/>
      <c r="D590" s="295"/>
      <c r="E590" s="173"/>
      <c r="F590" s="173">
        <f t="shared" si="19"/>
        <v>0</v>
      </c>
    </row>
    <row r="591" spans="1:6">
      <c r="A591" s="246">
        <v>2244</v>
      </c>
      <c r="B591" s="247" t="s">
        <v>321</v>
      </c>
      <c r="C591" s="174"/>
      <c r="D591" s="52">
        <f>SUM(D592:D593)</f>
        <v>0</v>
      </c>
      <c r="E591" s="52">
        <f>SUM(E592:E593)</f>
        <v>0</v>
      </c>
      <c r="F591" s="52">
        <f t="shared" si="19"/>
        <v>0</v>
      </c>
    </row>
    <row r="592" spans="1:6">
      <c r="A592" s="217">
        <v>224401</v>
      </c>
      <c r="B592" s="218" t="s">
        <v>344</v>
      </c>
      <c r="C592" s="174"/>
      <c r="D592" s="295"/>
      <c r="E592" s="174"/>
      <c r="F592" s="216">
        <f t="shared" si="19"/>
        <v>0</v>
      </c>
    </row>
    <row r="593" spans="1:6">
      <c r="A593" s="217">
        <v>224402</v>
      </c>
      <c r="B593" s="218" t="s">
        <v>323</v>
      </c>
      <c r="C593" s="174"/>
      <c r="D593" s="216"/>
      <c r="E593" s="216"/>
      <c r="F593" s="216">
        <f t="shared" si="19"/>
        <v>0</v>
      </c>
    </row>
    <row r="594" spans="1:6">
      <c r="A594" s="246">
        <v>2251</v>
      </c>
      <c r="B594" s="247" t="s">
        <v>374</v>
      </c>
      <c r="C594" s="174">
        <f>SUM(C595:C599)</f>
        <v>0</v>
      </c>
      <c r="D594" s="52">
        <f>SUM(D595:D599)</f>
        <v>0</v>
      </c>
      <c r="E594" s="246"/>
      <c r="F594" s="247"/>
    </row>
    <row r="595" spans="1:6">
      <c r="A595" s="368">
        <v>225101</v>
      </c>
      <c r="B595" s="368" t="s">
        <v>375</v>
      </c>
      <c r="C595" s="173"/>
      <c r="D595" s="173"/>
      <c r="E595" s="173">
        <f>E594/12</f>
        <v>0</v>
      </c>
      <c r="F595" s="173"/>
    </row>
    <row r="596" spans="1:6">
      <c r="A596" s="368">
        <v>225102</v>
      </c>
      <c r="B596" s="368" t="s">
        <v>376</v>
      </c>
      <c r="C596" s="173"/>
      <c r="D596" s="173"/>
      <c r="E596" s="173"/>
      <c r="F596" s="173"/>
    </row>
    <row r="597" spans="1:6">
      <c r="A597" s="246">
        <v>2281</v>
      </c>
      <c r="B597" s="247" t="s">
        <v>13</v>
      </c>
      <c r="C597" s="174"/>
      <c r="D597" s="52">
        <f>D60</f>
        <v>0</v>
      </c>
      <c r="E597" s="52">
        <f>E598</f>
        <v>0</v>
      </c>
      <c r="F597" s="52">
        <f t="shared" si="19"/>
        <v>0</v>
      </c>
    </row>
    <row r="598" spans="1:6" ht="12.55" customHeight="1">
      <c r="A598" s="217">
        <v>228101</v>
      </c>
      <c r="B598" s="218" t="s">
        <v>325</v>
      </c>
      <c r="C598" s="174"/>
      <c r="D598" s="216"/>
      <c r="E598" s="173"/>
      <c r="F598" s="173">
        <f t="shared" si="19"/>
        <v>0</v>
      </c>
    </row>
    <row r="599" spans="1:6" ht="55.75">
      <c r="A599" s="225">
        <v>20501</v>
      </c>
      <c r="B599" s="255" t="s">
        <v>51</v>
      </c>
      <c r="C599" s="169" t="s">
        <v>0</v>
      </c>
      <c r="D599" s="169" t="s">
        <v>261</v>
      </c>
      <c r="E599" s="169" t="s">
        <v>358</v>
      </c>
      <c r="F599" s="169" t="s">
        <v>359</v>
      </c>
    </row>
    <row r="600" spans="1:6">
      <c r="A600" s="280" t="s">
        <v>5</v>
      </c>
      <c r="B600" s="281" t="s">
        <v>65</v>
      </c>
      <c r="C600" s="282" t="e">
        <f>C601+C613</f>
        <v>#REF!</v>
      </c>
      <c r="D600" s="282">
        <f>D601+D613</f>
        <v>0</v>
      </c>
      <c r="E600" s="282">
        <f>E601+E613</f>
        <v>0</v>
      </c>
      <c r="F600" s="282">
        <f>E600/12</f>
        <v>0</v>
      </c>
    </row>
    <row r="601" spans="1:6">
      <c r="A601" s="288">
        <v>21</v>
      </c>
      <c r="B601" s="229" t="s">
        <v>6</v>
      </c>
      <c r="C601" s="174">
        <f>C602</f>
        <v>1764000</v>
      </c>
      <c r="D601" s="289">
        <f>D602</f>
        <v>0</v>
      </c>
      <c r="E601" s="289">
        <f>E602</f>
        <v>0</v>
      </c>
      <c r="F601" s="289">
        <f t="shared" ref="F601:F649" si="20">E601/12</f>
        <v>0</v>
      </c>
    </row>
    <row r="602" spans="1:6">
      <c r="A602" s="85">
        <v>211</v>
      </c>
      <c r="B602" s="86" t="s">
        <v>7</v>
      </c>
      <c r="C602" s="62">
        <f>C603+C605+C607+C611</f>
        <v>1764000</v>
      </c>
      <c r="D602" s="62">
        <f>D603+D605+D607+D611+D609</f>
        <v>0</v>
      </c>
      <c r="E602" s="62">
        <f>E603+E605+E607+E611+E609</f>
        <v>0</v>
      </c>
      <c r="F602" s="62">
        <f t="shared" si="20"/>
        <v>0</v>
      </c>
    </row>
    <row r="603" spans="1:6">
      <c r="A603" s="74">
        <v>2111</v>
      </c>
      <c r="B603" s="194" t="s">
        <v>8</v>
      </c>
      <c r="C603" s="52">
        <f>SUBTOTAL(9,C604)</f>
        <v>1260000</v>
      </c>
      <c r="D603" s="52">
        <f>D604</f>
        <v>0</v>
      </c>
      <c r="E603" s="52">
        <f>E604</f>
        <v>0</v>
      </c>
      <c r="F603" s="52">
        <f t="shared" si="20"/>
        <v>0</v>
      </c>
    </row>
    <row r="604" spans="1:6">
      <c r="A604" s="217">
        <v>211107</v>
      </c>
      <c r="B604" s="218" t="s">
        <v>346</v>
      </c>
      <c r="C604" s="173">
        <v>1260000</v>
      </c>
      <c r="D604" s="173"/>
      <c r="E604" s="174"/>
      <c r="F604" s="174">
        <f t="shared" si="20"/>
        <v>0</v>
      </c>
    </row>
    <row r="605" spans="1:6">
      <c r="A605" s="74">
        <v>2112</v>
      </c>
      <c r="B605" s="194" t="s">
        <v>52</v>
      </c>
      <c r="C605" s="52">
        <f>SUBTOTAL(9,C606)</f>
        <v>252000</v>
      </c>
      <c r="D605" s="52">
        <f>D606</f>
        <v>0</v>
      </c>
      <c r="E605" s="52">
        <f>E606</f>
        <v>0</v>
      </c>
      <c r="F605" s="52">
        <f t="shared" si="20"/>
        <v>0</v>
      </c>
    </row>
    <row r="606" spans="1:6">
      <c r="A606" s="217">
        <v>211201</v>
      </c>
      <c r="B606" s="218" t="s">
        <v>380</v>
      </c>
      <c r="C606" s="173">
        <v>252000</v>
      </c>
      <c r="D606" s="173"/>
      <c r="E606" s="174"/>
      <c r="F606" s="174">
        <f t="shared" si="20"/>
        <v>0</v>
      </c>
    </row>
    <row r="607" spans="1:6">
      <c r="A607" s="74">
        <v>2113</v>
      </c>
      <c r="B607" s="194" t="s">
        <v>10</v>
      </c>
      <c r="C607" s="52">
        <f>SUBTOTAL(9,C608:C608)</f>
        <v>252000</v>
      </c>
      <c r="D607" s="52">
        <f>D608</f>
        <v>0</v>
      </c>
      <c r="E607" s="52">
        <f>E608</f>
        <v>0</v>
      </c>
      <c r="F607" s="52">
        <f t="shared" si="20"/>
        <v>0</v>
      </c>
    </row>
    <row r="608" spans="1:6">
      <c r="A608" s="217">
        <v>211307</v>
      </c>
      <c r="B608" s="218" t="s">
        <v>350</v>
      </c>
      <c r="C608" s="173">
        <v>252000</v>
      </c>
      <c r="D608" s="173"/>
      <c r="E608" s="173"/>
      <c r="F608" s="173">
        <f t="shared" si="20"/>
        <v>0</v>
      </c>
    </row>
    <row r="609" spans="1:6">
      <c r="A609" s="74">
        <v>2114</v>
      </c>
      <c r="B609" s="194" t="s">
        <v>383</v>
      </c>
      <c r="C609" s="52"/>
      <c r="D609" s="52">
        <f>D610</f>
        <v>0</v>
      </c>
      <c r="E609" s="52">
        <f>E610</f>
        <v>0</v>
      </c>
      <c r="F609" s="52">
        <f>E609/12</f>
        <v>0</v>
      </c>
    </row>
    <row r="610" spans="1:6">
      <c r="A610" s="217">
        <v>211401</v>
      </c>
      <c r="B610" s="218" t="s">
        <v>382</v>
      </c>
      <c r="C610" s="173"/>
      <c r="D610" s="173"/>
      <c r="E610" s="173"/>
      <c r="F610" s="173">
        <f>E610/12</f>
        <v>0</v>
      </c>
    </row>
    <row r="611" spans="1:6">
      <c r="A611" s="74">
        <v>2115</v>
      </c>
      <c r="B611" s="194" t="s">
        <v>13</v>
      </c>
      <c r="C611" s="52">
        <f>SUBTOTAL(9,C612)</f>
        <v>0</v>
      </c>
      <c r="D611" s="52">
        <f>D612</f>
        <v>0</v>
      </c>
      <c r="E611" s="52">
        <f>E612</f>
        <v>0</v>
      </c>
      <c r="F611" s="52">
        <f t="shared" si="20"/>
        <v>0</v>
      </c>
    </row>
    <row r="612" spans="1:6" ht="18" customHeight="1">
      <c r="A612" s="217">
        <v>211501</v>
      </c>
      <c r="B612" s="218" t="s">
        <v>14</v>
      </c>
      <c r="C612" s="174">
        <v>0</v>
      </c>
      <c r="D612" s="174"/>
      <c r="E612" s="173"/>
      <c r="F612" s="173">
        <f t="shared" si="20"/>
        <v>0</v>
      </c>
    </row>
    <row r="613" spans="1:6">
      <c r="A613" s="228">
        <v>22</v>
      </c>
      <c r="B613" s="229" t="s">
        <v>15</v>
      </c>
      <c r="C613" s="172" t="e">
        <f>C614+#REF!+#REF!+#REF!</f>
        <v>#REF!</v>
      </c>
      <c r="D613" s="172">
        <f>D614</f>
        <v>0</v>
      </c>
      <c r="E613" s="172">
        <f>E614</f>
        <v>0</v>
      </c>
      <c r="F613" s="172">
        <f t="shared" si="20"/>
        <v>0</v>
      </c>
    </row>
    <row r="614" spans="1:6">
      <c r="A614" s="85">
        <v>221</v>
      </c>
      <c r="B614" s="86" t="s">
        <v>16</v>
      </c>
      <c r="C614" s="62">
        <f>C615+C619+C622+C625+C628</f>
        <v>166800</v>
      </c>
      <c r="D614" s="62">
        <f>D615+D619+D622+D625+D628+D633+D638+D642+D645+D648</f>
        <v>0</v>
      </c>
      <c r="E614" s="62">
        <f>E615+E619+E622+E625+E628+E633+E638+E642+E645+E648</f>
        <v>0</v>
      </c>
      <c r="F614" s="62">
        <f t="shared" si="20"/>
        <v>0</v>
      </c>
    </row>
    <row r="615" spans="1:6">
      <c r="A615" s="74">
        <v>2211</v>
      </c>
      <c r="B615" s="194" t="s">
        <v>304</v>
      </c>
      <c r="C615" s="52">
        <f>SUBTOTAL(9,C616:C618)</f>
        <v>15600</v>
      </c>
      <c r="D615" s="52">
        <f>SUM(D616:D618)</f>
        <v>0</v>
      </c>
      <c r="E615" s="52">
        <f>SUM(E616:E618)</f>
        <v>0</v>
      </c>
      <c r="F615" s="52">
        <f t="shared" si="20"/>
        <v>0</v>
      </c>
    </row>
    <row r="616" spans="1:6">
      <c r="A616" s="268">
        <v>221101</v>
      </c>
      <c r="B616" s="269" t="s">
        <v>305</v>
      </c>
      <c r="C616" s="173">
        <v>6000</v>
      </c>
      <c r="D616" s="173"/>
      <c r="E616" s="175"/>
      <c r="F616" s="175">
        <f t="shared" si="20"/>
        <v>0</v>
      </c>
    </row>
    <row r="617" spans="1:6">
      <c r="A617" s="268">
        <v>221102</v>
      </c>
      <c r="B617" s="269" t="s">
        <v>30</v>
      </c>
      <c r="C617" s="173">
        <v>7200</v>
      </c>
      <c r="D617" s="173"/>
      <c r="E617" s="173"/>
      <c r="F617" s="175">
        <f t="shared" si="20"/>
        <v>0</v>
      </c>
    </row>
    <row r="618" spans="1:6">
      <c r="A618" s="217">
        <v>221103</v>
      </c>
      <c r="B618" s="218" t="s">
        <v>306</v>
      </c>
      <c r="C618" s="173">
        <v>2400</v>
      </c>
      <c r="D618" s="173"/>
      <c r="E618" s="175"/>
      <c r="F618" s="175">
        <f t="shared" si="20"/>
        <v>0</v>
      </c>
    </row>
    <row r="619" spans="1:6">
      <c r="A619" s="246">
        <v>2221</v>
      </c>
      <c r="B619" s="247" t="s">
        <v>17</v>
      </c>
      <c r="C619" s="52">
        <f>SUBTOTAL(9,C620:C621)</f>
        <v>0</v>
      </c>
      <c r="D619" s="52">
        <f>SUM(D620:D621)</f>
        <v>0</v>
      </c>
      <c r="E619" s="52">
        <f>SUM(E620:E621)</f>
        <v>0</v>
      </c>
      <c r="F619" s="52">
        <f t="shared" si="20"/>
        <v>0</v>
      </c>
    </row>
    <row r="620" spans="1:6">
      <c r="A620" s="217">
        <v>222101</v>
      </c>
      <c r="B620" s="218" t="s">
        <v>18</v>
      </c>
      <c r="C620" s="173">
        <v>0</v>
      </c>
      <c r="D620" s="173"/>
      <c r="E620" s="173"/>
      <c r="F620" s="173">
        <f t="shared" si="20"/>
        <v>0</v>
      </c>
    </row>
    <row r="621" spans="1:6">
      <c r="A621" s="217">
        <v>222102</v>
      </c>
      <c r="B621" s="218" t="s">
        <v>19</v>
      </c>
      <c r="C621" s="173">
        <v>0</v>
      </c>
      <c r="D621" s="173"/>
      <c r="E621" s="173"/>
      <c r="F621" s="173">
        <f t="shared" si="20"/>
        <v>0</v>
      </c>
    </row>
    <row r="622" spans="1:6">
      <c r="A622" s="74">
        <v>2222</v>
      </c>
      <c r="B622" s="194" t="s">
        <v>20</v>
      </c>
      <c r="C622" s="52">
        <f>SUBTOTAL(9,C623:C624)</f>
        <v>135600</v>
      </c>
      <c r="D622" s="52">
        <f>SUM(D623:D624)</f>
        <v>0</v>
      </c>
      <c r="E622" s="52">
        <f>SUM(E623:E624)</f>
        <v>0</v>
      </c>
      <c r="F622" s="52">
        <f t="shared" si="20"/>
        <v>0</v>
      </c>
    </row>
    <row r="623" spans="1:6">
      <c r="A623" s="217">
        <v>222201</v>
      </c>
      <c r="B623" s="218" t="s">
        <v>309</v>
      </c>
      <c r="C623" s="173">
        <v>126000</v>
      </c>
      <c r="D623" s="173"/>
      <c r="E623" s="173"/>
      <c r="F623" s="173">
        <f t="shared" si="20"/>
        <v>0</v>
      </c>
    </row>
    <row r="624" spans="1:6">
      <c r="A624" s="217">
        <v>222202</v>
      </c>
      <c r="B624" s="218" t="s">
        <v>328</v>
      </c>
      <c r="C624" s="173">
        <v>9600</v>
      </c>
      <c r="D624" s="173"/>
      <c r="E624" s="173"/>
      <c r="F624" s="173">
        <f t="shared" si="20"/>
        <v>0</v>
      </c>
    </row>
    <row r="625" spans="1:6">
      <c r="A625" s="246">
        <v>2223</v>
      </c>
      <c r="B625" s="247" t="s">
        <v>23</v>
      </c>
      <c r="C625" s="52">
        <f>SUBTOTAL(9,C626:C627)</f>
        <v>9600</v>
      </c>
      <c r="D625" s="52">
        <f>SUM(D626:D627)</f>
        <v>0</v>
      </c>
      <c r="E625" s="52">
        <f>SUM(E626:E627)</f>
        <v>0</v>
      </c>
      <c r="F625" s="52">
        <f t="shared" si="20"/>
        <v>0</v>
      </c>
    </row>
    <row r="626" spans="1:6">
      <c r="A626" s="217">
        <v>222301</v>
      </c>
      <c r="B626" s="218" t="s">
        <v>310</v>
      </c>
      <c r="C626" s="173">
        <v>0</v>
      </c>
      <c r="D626" s="173"/>
      <c r="E626" s="174"/>
      <c r="F626" s="174">
        <f t="shared" si="20"/>
        <v>0</v>
      </c>
    </row>
    <row r="627" spans="1:6">
      <c r="A627" s="217">
        <v>222302</v>
      </c>
      <c r="B627" s="218" t="s">
        <v>24</v>
      </c>
      <c r="C627" s="173">
        <v>9600</v>
      </c>
      <c r="D627" s="173"/>
      <c r="E627" s="173"/>
      <c r="F627" s="173">
        <f t="shared" si="20"/>
        <v>0</v>
      </c>
    </row>
    <row r="628" spans="1:6">
      <c r="A628" s="246">
        <v>2224</v>
      </c>
      <c r="B628" s="194" t="s">
        <v>330</v>
      </c>
      <c r="C628" s="52">
        <f>SUBTOTAL(9,C629)</f>
        <v>6000</v>
      </c>
      <c r="D628" s="52">
        <f>SUM(D629:D632)</f>
        <v>0</v>
      </c>
      <c r="E628" s="52">
        <f>SUM(E629:E632)</f>
        <v>0</v>
      </c>
      <c r="F628" s="52">
        <f t="shared" si="20"/>
        <v>0</v>
      </c>
    </row>
    <row r="629" spans="1:6">
      <c r="A629" s="217">
        <v>222401</v>
      </c>
      <c r="B629" s="218" t="s">
        <v>343</v>
      </c>
      <c r="C629" s="173">
        <v>6000</v>
      </c>
      <c r="D629" s="173"/>
      <c r="E629" s="173"/>
      <c r="F629" s="173">
        <f t="shared" si="20"/>
        <v>0</v>
      </c>
    </row>
    <row r="630" spans="1:6">
      <c r="A630" s="217">
        <v>222403</v>
      </c>
      <c r="B630" s="218" t="s">
        <v>312</v>
      </c>
      <c r="C630" s="173"/>
      <c r="D630" s="173"/>
      <c r="E630" s="173"/>
      <c r="F630" s="173">
        <f t="shared" si="20"/>
        <v>0</v>
      </c>
    </row>
    <row r="631" spans="1:6">
      <c r="A631" s="217">
        <v>222404</v>
      </c>
      <c r="B631" s="218" t="s">
        <v>313</v>
      </c>
      <c r="C631" s="173"/>
      <c r="D631" s="173"/>
      <c r="E631" s="173"/>
      <c r="F631" s="173">
        <f t="shared" si="20"/>
        <v>0</v>
      </c>
    </row>
    <row r="632" spans="1:6">
      <c r="A632" s="217">
        <v>222405</v>
      </c>
      <c r="B632" s="218" t="s">
        <v>314</v>
      </c>
      <c r="C632" s="173"/>
      <c r="D632" s="173"/>
      <c r="E632" s="173"/>
      <c r="F632" s="173">
        <f t="shared" si="20"/>
        <v>0</v>
      </c>
    </row>
    <row r="633" spans="1:6">
      <c r="A633" s="74">
        <v>2225</v>
      </c>
      <c r="B633" s="194" t="s">
        <v>331</v>
      </c>
      <c r="C633" s="52">
        <f>SUBTOTAL(9,C634)</f>
        <v>0</v>
      </c>
      <c r="D633" s="52">
        <f>SUM(D634:D637)</f>
        <v>0</v>
      </c>
      <c r="E633" s="52">
        <f>SUM(E634:E637)</f>
        <v>0</v>
      </c>
      <c r="F633" s="52">
        <f t="shared" si="20"/>
        <v>0</v>
      </c>
    </row>
    <row r="634" spans="1:6">
      <c r="A634" s="217">
        <v>222501</v>
      </c>
      <c r="B634" s="218" t="s">
        <v>315</v>
      </c>
      <c r="C634" s="174">
        <v>0</v>
      </c>
      <c r="D634" s="174"/>
      <c r="E634" s="173"/>
      <c r="F634" s="173">
        <f t="shared" si="20"/>
        <v>0</v>
      </c>
    </row>
    <row r="635" spans="1:6">
      <c r="A635" s="217">
        <v>222502</v>
      </c>
      <c r="B635" s="218" t="s">
        <v>316</v>
      </c>
      <c r="C635" s="174"/>
      <c r="D635" s="174"/>
      <c r="E635" s="173"/>
      <c r="F635" s="173">
        <f t="shared" si="20"/>
        <v>0</v>
      </c>
    </row>
    <row r="636" spans="1:6">
      <c r="A636" s="217">
        <v>222503</v>
      </c>
      <c r="B636" s="218" t="s">
        <v>317</v>
      </c>
      <c r="C636" s="174"/>
      <c r="D636" s="174"/>
      <c r="E636" s="173"/>
      <c r="F636" s="173">
        <f t="shared" si="20"/>
        <v>0</v>
      </c>
    </row>
    <row r="637" spans="1:6">
      <c r="A637" s="217">
        <v>222504</v>
      </c>
      <c r="B637" s="218" t="s">
        <v>318</v>
      </c>
      <c r="C637" s="174"/>
      <c r="D637" s="174"/>
      <c r="E637" s="173"/>
      <c r="F637" s="173">
        <f t="shared" si="20"/>
        <v>0</v>
      </c>
    </row>
    <row r="638" spans="1:6">
      <c r="A638" s="246">
        <v>2231</v>
      </c>
      <c r="B638" s="247" t="s">
        <v>21</v>
      </c>
      <c r="C638" s="52">
        <f>SUBTOTAL(9,C639:C639)</f>
        <v>84000</v>
      </c>
      <c r="D638" s="52">
        <f>SUM(D639:D641)</f>
        <v>0</v>
      </c>
      <c r="E638" s="52">
        <f>SUM(E639:E641)</f>
        <v>0</v>
      </c>
      <c r="F638" s="52">
        <f>E638/12</f>
        <v>0</v>
      </c>
    </row>
    <row r="639" spans="1:6">
      <c r="A639" s="217">
        <v>223101</v>
      </c>
      <c r="B639" s="218" t="s">
        <v>319</v>
      </c>
      <c r="C639" s="173">
        <v>84000</v>
      </c>
      <c r="D639" s="173"/>
      <c r="E639" s="173"/>
      <c r="F639" s="173">
        <f t="shared" si="20"/>
        <v>0</v>
      </c>
    </row>
    <row r="640" spans="1:6">
      <c r="A640" s="217">
        <v>223102</v>
      </c>
      <c r="B640" s="218" t="s">
        <v>22</v>
      </c>
      <c r="C640" s="173"/>
      <c r="D640" s="173"/>
      <c r="E640" s="173"/>
      <c r="F640" s="173">
        <f t="shared" si="20"/>
        <v>0</v>
      </c>
    </row>
    <row r="641" spans="1:6">
      <c r="A641" s="217">
        <v>223103</v>
      </c>
      <c r="B641" s="218" t="s">
        <v>340</v>
      </c>
      <c r="C641" s="173"/>
      <c r="D641" s="173"/>
      <c r="E641" s="173"/>
      <c r="F641" s="173">
        <f t="shared" si="20"/>
        <v>0</v>
      </c>
    </row>
    <row r="642" spans="1:6">
      <c r="A642" s="246">
        <v>2244</v>
      </c>
      <c r="B642" s="247" t="s">
        <v>321</v>
      </c>
      <c r="C642" s="52">
        <f>SUBTOTAL(9,C643:C644)</f>
        <v>12000</v>
      </c>
      <c r="D642" s="52">
        <f>SUM(D643:D644)</f>
        <v>0</v>
      </c>
      <c r="E642" s="52">
        <f>SUM(E643:E644)</f>
        <v>0</v>
      </c>
      <c r="F642" s="52">
        <f t="shared" si="20"/>
        <v>0</v>
      </c>
    </row>
    <row r="643" spans="1:6">
      <c r="A643" s="217">
        <v>224401</v>
      </c>
      <c r="B643" s="218" t="s">
        <v>344</v>
      </c>
      <c r="C643" s="173">
        <v>12000</v>
      </c>
      <c r="D643" s="173"/>
      <c r="E643" s="173"/>
      <c r="F643" s="173">
        <f t="shared" si="20"/>
        <v>0</v>
      </c>
    </row>
    <row r="644" spans="1:6">
      <c r="A644" s="217">
        <v>224402</v>
      </c>
      <c r="B644" s="218" t="s">
        <v>323</v>
      </c>
      <c r="C644" s="173">
        <v>0</v>
      </c>
      <c r="D644" s="173"/>
      <c r="E644" s="173"/>
      <c r="F644" s="173">
        <f t="shared" si="20"/>
        <v>0</v>
      </c>
    </row>
    <row r="645" spans="1:6">
      <c r="A645" s="74">
        <v>2251</v>
      </c>
      <c r="B645" s="194" t="s">
        <v>374</v>
      </c>
      <c r="C645" s="306"/>
      <c r="D645" s="52">
        <f>SUM(D646:D647)</f>
        <v>0</v>
      </c>
      <c r="E645" s="52">
        <f>SUM(E646:E647)</f>
        <v>0</v>
      </c>
      <c r="F645" s="52">
        <f>E645/12</f>
        <v>0</v>
      </c>
    </row>
    <row r="646" spans="1:6">
      <c r="A646" s="368">
        <v>225101</v>
      </c>
      <c r="B646" s="368" t="s">
        <v>375</v>
      </c>
      <c r="C646" s="173"/>
      <c r="D646" s="173"/>
      <c r="E646" s="174"/>
      <c r="F646" s="174">
        <f>E646/12</f>
        <v>0</v>
      </c>
    </row>
    <row r="647" spans="1:6">
      <c r="A647" s="368">
        <v>225103</v>
      </c>
      <c r="B647" s="368" t="s">
        <v>377</v>
      </c>
      <c r="C647" s="173"/>
      <c r="D647" s="173"/>
      <c r="E647" s="174"/>
      <c r="F647" s="174">
        <f>E647/12</f>
        <v>0</v>
      </c>
    </row>
    <row r="648" spans="1:6">
      <c r="A648" s="246">
        <v>2281</v>
      </c>
      <c r="B648" s="247" t="s">
        <v>13</v>
      </c>
      <c r="C648" s="52">
        <f>SUBTOTAL(9,C649:C649)</f>
        <v>0</v>
      </c>
      <c r="D648" s="52">
        <f>D649</f>
        <v>0</v>
      </c>
      <c r="E648" s="52">
        <f>E649</f>
        <v>0</v>
      </c>
      <c r="F648" s="52">
        <f>E648/12</f>
        <v>0</v>
      </c>
    </row>
    <row r="649" spans="1:6">
      <c r="A649" s="217">
        <v>228101</v>
      </c>
      <c r="B649" s="218" t="s">
        <v>325</v>
      </c>
      <c r="C649" s="173">
        <v>0</v>
      </c>
      <c r="D649" s="173"/>
      <c r="E649" s="174"/>
      <c r="F649" s="174">
        <f t="shared" si="20"/>
        <v>0</v>
      </c>
    </row>
    <row r="650" spans="1:6" ht="55.75">
      <c r="A650" s="225">
        <v>20601</v>
      </c>
      <c r="B650" s="255" t="s">
        <v>53</v>
      </c>
      <c r="C650" s="306"/>
      <c r="D650" s="169" t="s">
        <v>261</v>
      </c>
      <c r="E650" s="169" t="s">
        <v>358</v>
      </c>
      <c r="F650" s="169" t="s">
        <v>359</v>
      </c>
    </row>
    <row r="651" spans="1:6">
      <c r="A651" s="280" t="s">
        <v>5</v>
      </c>
      <c r="B651" s="281" t="s">
        <v>65</v>
      </c>
      <c r="C651" s="306"/>
      <c r="D651" s="282">
        <f>D652+D664</f>
        <v>0</v>
      </c>
      <c r="E651" s="282">
        <f>E652+E664</f>
        <v>0</v>
      </c>
      <c r="F651" s="282">
        <f>E651/12</f>
        <v>0</v>
      </c>
    </row>
    <row r="652" spans="1:6">
      <c r="A652" s="228">
        <v>21</v>
      </c>
      <c r="B652" s="229" t="s">
        <v>6</v>
      </c>
      <c r="C652" s="306"/>
      <c r="D652" s="172">
        <f>D653</f>
        <v>0</v>
      </c>
      <c r="E652" s="172">
        <f>E653</f>
        <v>0</v>
      </c>
      <c r="F652" s="172">
        <f t="shared" ref="F652:F702" si="21">E652/12</f>
        <v>0</v>
      </c>
    </row>
    <row r="653" spans="1:6">
      <c r="A653" s="85">
        <v>211</v>
      </c>
      <c r="B653" s="86" t="s">
        <v>7</v>
      </c>
      <c r="C653" s="306"/>
      <c r="D653" s="62">
        <f>D654+D656+D658+D662+D660</f>
        <v>0</v>
      </c>
      <c r="E653" s="62">
        <f>E654+E656+E658+E662+E660</f>
        <v>0</v>
      </c>
      <c r="F653" s="62">
        <f t="shared" si="21"/>
        <v>0</v>
      </c>
    </row>
    <row r="654" spans="1:6">
      <c r="A654" s="74">
        <v>2111</v>
      </c>
      <c r="B654" s="194" t="s">
        <v>8</v>
      </c>
      <c r="C654" s="306"/>
      <c r="D654" s="52">
        <f>D655</f>
        <v>0</v>
      </c>
      <c r="E654" s="52">
        <f>E655</f>
        <v>0</v>
      </c>
      <c r="F654" s="52">
        <f t="shared" si="21"/>
        <v>0</v>
      </c>
    </row>
    <row r="655" spans="1:6">
      <c r="A655" s="217">
        <v>211107</v>
      </c>
      <c r="B655" s="218" t="s">
        <v>346</v>
      </c>
      <c r="C655" s="306"/>
      <c r="D655" s="173"/>
      <c r="E655" s="173"/>
      <c r="F655" s="173">
        <f t="shared" si="21"/>
        <v>0</v>
      </c>
    </row>
    <row r="656" spans="1:6">
      <c r="A656" s="74">
        <v>2112</v>
      </c>
      <c r="B656" s="194" t="s">
        <v>52</v>
      </c>
      <c r="C656" s="306"/>
      <c r="D656" s="52">
        <f>D657</f>
        <v>0</v>
      </c>
      <c r="E656" s="52">
        <f>E657</f>
        <v>0</v>
      </c>
      <c r="F656" s="52">
        <f>E656/12</f>
        <v>0</v>
      </c>
    </row>
    <row r="657" spans="1:6">
      <c r="A657" s="217">
        <v>211201</v>
      </c>
      <c r="B657" s="218" t="s">
        <v>380</v>
      </c>
      <c r="C657" s="306"/>
      <c r="D657" s="173"/>
      <c r="E657" s="175"/>
      <c r="F657" s="175">
        <f t="shared" si="21"/>
        <v>0</v>
      </c>
    </row>
    <row r="658" spans="1:6">
      <c r="A658" s="74">
        <v>2113</v>
      </c>
      <c r="B658" s="194" t="s">
        <v>10</v>
      </c>
      <c r="C658" s="306"/>
      <c r="D658" s="52">
        <f>D659</f>
        <v>0</v>
      </c>
      <c r="E658" s="52">
        <f>E659</f>
        <v>0</v>
      </c>
      <c r="F658" s="52">
        <f t="shared" si="21"/>
        <v>0</v>
      </c>
    </row>
    <row r="659" spans="1:6">
      <c r="A659" s="217">
        <v>211307</v>
      </c>
      <c r="B659" s="218" t="s">
        <v>350</v>
      </c>
      <c r="C659" s="306"/>
      <c r="D659" s="173"/>
      <c r="E659" s="175"/>
      <c r="F659" s="175">
        <f t="shared" si="21"/>
        <v>0</v>
      </c>
    </row>
    <row r="660" spans="1:6">
      <c r="A660" s="74">
        <v>2114</v>
      </c>
      <c r="B660" s="194" t="s">
        <v>383</v>
      </c>
      <c r="C660" s="306"/>
      <c r="D660" s="52">
        <f>D661</f>
        <v>0</v>
      </c>
      <c r="E660" s="52">
        <f>E661</f>
        <v>0</v>
      </c>
      <c r="F660" s="52">
        <f>E660/12</f>
        <v>0</v>
      </c>
    </row>
    <row r="661" spans="1:6">
      <c r="A661" s="217">
        <v>211401</v>
      </c>
      <c r="B661" s="218" t="s">
        <v>382</v>
      </c>
      <c r="C661" s="306"/>
      <c r="D661" s="173"/>
      <c r="E661" s="175"/>
      <c r="F661" s="175">
        <f>E661/12</f>
        <v>0</v>
      </c>
    </row>
    <row r="662" spans="1:6">
      <c r="A662" s="74">
        <v>2115</v>
      </c>
      <c r="B662" s="194" t="s">
        <v>13</v>
      </c>
      <c r="C662" s="306"/>
      <c r="D662" s="52">
        <f>D663</f>
        <v>0</v>
      </c>
      <c r="E662" s="52">
        <f>E663</f>
        <v>0</v>
      </c>
      <c r="F662" s="52">
        <f t="shared" si="21"/>
        <v>0</v>
      </c>
    </row>
    <row r="663" spans="1:6">
      <c r="A663" s="217">
        <v>211501</v>
      </c>
      <c r="B663" s="218" t="s">
        <v>14</v>
      </c>
      <c r="C663" s="306"/>
      <c r="D663" s="173"/>
      <c r="E663" s="173"/>
      <c r="F663" s="173">
        <f t="shared" si="21"/>
        <v>0</v>
      </c>
    </row>
    <row r="664" spans="1:6">
      <c r="A664" s="228">
        <v>22</v>
      </c>
      <c r="B664" s="229" t="s">
        <v>15</v>
      </c>
      <c r="C664" s="306"/>
      <c r="D664" s="172">
        <f>D665</f>
        <v>0</v>
      </c>
      <c r="E664" s="172">
        <f>E665</f>
        <v>0</v>
      </c>
      <c r="F664" s="172">
        <f t="shared" si="21"/>
        <v>0</v>
      </c>
    </row>
    <row r="665" spans="1:6">
      <c r="A665" s="85">
        <v>221</v>
      </c>
      <c r="B665" s="86" t="s">
        <v>16</v>
      </c>
      <c r="C665" s="306"/>
      <c r="D665" s="62">
        <f>D666+D670+D673+D676+D679+D684+D689+D694+D698+D701</f>
        <v>0</v>
      </c>
      <c r="E665" s="62">
        <f>E666+E670+E673+E676+E679+E684+E689+E694+E698+E701</f>
        <v>0</v>
      </c>
      <c r="F665" s="62">
        <f t="shared" si="21"/>
        <v>0</v>
      </c>
    </row>
    <row r="666" spans="1:6">
      <c r="A666" s="74">
        <v>2211</v>
      </c>
      <c r="B666" s="194" t="s">
        <v>304</v>
      </c>
      <c r="C666" s="306"/>
      <c r="D666" s="52">
        <f>SUM(D667:D669)</f>
        <v>0</v>
      </c>
      <c r="E666" s="52">
        <f>SUM(E667:E669)</f>
        <v>0</v>
      </c>
      <c r="F666" s="52">
        <f t="shared" si="21"/>
        <v>0</v>
      </c>
    </row>
    <row r="667" spans="1:6">
      <c r="A667" s="268">
        <v>221101</v>
      </c>
      <c r="B667" s="269" t="s">
        <v>305</v>
      </c>
      <c r="C667" s="306"/>
      <c r="D667" s="173"/>
      <c r="E667" s="173"/>
      <c r="F667" s="173">
        <f t="shared" si="21"/>
        <v>0</v>
      </c>
    </row>
    <row r="668" spans="1:6">
      <c r="A668" s="268">
        <v>221102</v>
      </c>
      <c r="B668" s="269" t="s">
        <v>30</v>
      </c>
      <c r="C668" s="306"/>
      <c r="D668" s="173"/>
      <c r="E668" s="174"/>
      <c r="F668" s="173">
        <f t="shared" si="21"/>
        <v>0</v>
      </c>
    </row>
    <row r="669" spans="1:6">
      <c r="A669" s="217">
        <v>221103</v>
      </c>
      <c r="B669" s="218" t="s">
        <v>306</v>
      </c>
      <c r="C669" s="306"/>
      <c r="D669" s="173"/>
      <c r="E669" s="173"/>
      <c r="F669" s="173">
        <f t="shared" si="21"/>
        <v>0</v>
      </c>
    </row>
    <row r="670" spans="1:6">
      <c r="A670" s="246">
        <v>2221</v>
      </c>
      <c r="B670" s="247" t="s">
        <v>17</v>
      </c>
      <c r="C670" s="306"/>
      <c r="D670" s="52">
        <f>SUM(D671:D672)</f>
        <v>0</v>
      </c>
      <c r="E670" s="52">
        <f>SUM(E671:E672)</f>
        <v>0</v>
      </c>
      <c r="F670" s="52">
        <f t="shared" si="21"/>
        <v>0</v>
      </c>
    </row>
    <row r="671" spans="1:6">
      <c r="A671" s="217">
        <v>222101</v>
      </c>
      <c r="B671" s="218" t="s">
        <v>18</v>
      </c>
      <c r="C671" s="306"/>
      <c r="D671" s="173"/>
      <c r="E671" s="173"/>
      <c r="F671" s="173">
        <f t="shared" si="21"/>
        <v>0</v>
      </c>
    </row>
    <row r="672" spans="1:6">
      <c r="A672" s="217">
        <v>222102</v>
      </c>
      <c r="B672" s="218" t="s">
        <v>19</v>
      </c>
      <c r="C672" s="306"/>
      <c r="D672" s="173"/>
      <c r="E672" s="173"/>
      <c r="F672" s="173">
        <f t="shared" si="21"/>
        <v>0</v>
      </c>
    </row>
    <row r="673" spans="1:6">
      <c r="A673" s="74">
        <v>2222</v>
      </c>
      <c r="B673" s="194" t="s">
        <v>20</v>
      </c>
      <c r="C673" s="306"/>
      <c r="D673" s="52">
        <f>SUM(D674:D675)</f>
        <v>0</v>
      </c>
      <c r="E673" s="52">
        <f>SUM(E674:E675)</f>
        <v>0</v>
      </c>
      <c r="F673" s="52">
        <f t="shared" si="21"/>
        <v>0</v>
      </c>
    </row>
    <row r="674" spans="1:6">
      <c r="A674" s="217">
        <v>222201</v>
      </c>
      <c r="B674" s="218" t="s">
        <v>309</v>
      </c>
      <c r="C674" s="306"/>
      <c r="D674" s="173"/>
      <c r="E674" s="173"/>
      <c r="F674" s="173">
        <f t="shared" si="21"/>
        <v>0</v>
      </c>
    </row>
    <row r="675" spans="1:6">
      <c r="A675" s="217">
        <v>222202</v>
      </c>
      <c r="B675" s="218" t="s">
        <v>328</v>
      </c>
      <c r="C675" s="306"/>
      <c r="D675" s="173"/>
      <c r="E675" s="173"/>
      <c r="F675" s="173">
        <f t="shared" si="21"/>
        <v>0</v>
      </c>
    </row>
    <row r="676" spans="1:6">
      <c r="A676" s="246">
        <v>2223</v>
      </c>
      <c r="B676" s="247" t="s">
        <v>23</v>
      </c>
      <c r="C676" s="306"/>
      <c r="D676" s="52">
        <f>SUM(D677:D678)</f>
        <v>0</v>
      </c>
      <c r="E676" s="52">
        <f>SUM(E677:E678)</f>
        <v>0</v>
      </c>
      <c r="F676" s="52">
        <f t="shared" si="21"/>
        <v>0</v>
      </c>
    </row>
    <row r="677" spans="1:6">
      <c r="A677" s="217">
        <v>222301</v>
      </c>
      <c r="B677" s="218" t="s">
        <v>310</v>
      </c>
      <c r="C677" s="306"/>
      <c r="D677" s="173"/>
      <c r="E677" s="173"/>
      <c r="F677" s="173">
        <f t="shared" si="21"/>
        <v>0</v>
      </c>
    </row>
    <row r="678" spans="1:6">
      <c r="A678" s="217">
        <v>222302</v>
      </c>
      <c r="B678" s="218" t="s">
        <v>24</v>
      </c>
      <c r="C678" s="306"/>
      <c r="D678" s="173"/>
      <c r="E678" s="173"/>
      <c r="F678" s="173">
        <f t="shared" si="21"/>
        <v>0</v>
      </c>
    </row>
    <row r="679" spans="1:6">
      <c r="A679" s="246">
        <v>2224</v>
      </c>
      <c r="B679" s="194" t="s">
        <v>330</v>
      </c>
      <c r="C679" s="306"/>
      <c r="D679" s="52">
        <f>SUM(D680:D683)</f>
        <v>0</v>
      </c>
      <c r="E679" s="52">
        <f>SUM(E680:E683)</f>
        <v>0</v>
      </c>
      <c r="F679" s="52">
        <f t="shared" si="21"/>
        <v>0</v>
      </c>
    </row>
    <row r="680" spans="1:6">
      <c r="A680" s="217">
        <v>222401</v>
      </c>
      <c r="B680" s="218" t="s">
        <v>343</v>
      </c>
      <c r="C680" s="306"/>
      <c r="D680" s="173"/>
      <c r="E680" s="173"/>
      <c r="F680" s="173">
        <f t="shared" si="21"/>
        <v>0</v>
      </c>
    </row>
    <row r="681" spans="1:6">
      <c r="A681" s="217">
        <v>222403</v>
      </c>
      <c r="B681" s="218" t="s">
        <v>312</v>
      </c>
      <c r="C681" s="306"/>
      <c r="D681" s="173"/>
      <c r="E681" s="173"/>
      <c r="F681" s="173">
        <f t="shared" si="21"/>
        <v>0</v>
      </c>
    </row>
    <row r="682" spans="1:6">
      <c r="A682" s="217">
        <v>222404</v>
      </c>
      <c r="B682" s="218" t="s">
        <v>313</v>
      </c>
      <c r="C682" s="306"/>
      <c r="D682" s="173"/>
      <c r="E682" s="173"/>
      <c r="F682" s="173">
        <f t="shared" si="21"/>
        <v>0</v>
      </c>
    </row>
    <row r="683" spans="1:6">
      <c r="A683" s="217">
        <v>222405</v>
      </c>
      <c r="B683" s="218" t="s">
        <v>314</v>
      </c>
      <c r="C683" s="306"/>
      <c r="D683" s="173"/>
      <c r="E683" s="173"/>
      <c r="F683" s="173">
        <f t="shared" si="21"/>
        <v>0</v>
      </c>
    </row>
    <row r="684" spans="1:6">
      <c r="A684" s="74">
        <v>2225</v>
      </c>
      <c r="B684" s="194" t="s">
        <v>331</v>
      </c>
      <c r="C684" s="306"/>
      <c r="D684" s="52">
        <f>SUM(D685:D688)</f>
        <v>0</v>
      </c>
      <c r="E684" s="52">
        <f>SUM(E685:E688)</f>
        <v>0</v>
      </c>
      <c r="F684" s="52">
        <f t="shared" si="21"/>
        <v>0</v>
      </c>
    </row>
    <row r="685" spans="1:6">
      <c r="A685" s="217">
        <v>222501</v>
      </c>
      <c r="B685" s="218" t="s">
        <v>315</v>
      </c>
      <c r="C685" s="306"/>
      <c r="D685" s="173"/>
      <c r="E685" s="174"/>
      <c r="F685" s="174">
        <f t="shared" si="21"/>
        <v>0</v>
      </c>
    </row>
    <row r="686" spans="1:6">
      <c r="A686" s="217">
        <v>222502</v>
      </c>
      <c r="B686" s="218" t="s">
        <v>316</v>
      </c>
      <c r="C686" s="306"/>
      <c r="D686" s="173"/>
      <c r="E686" s="174"/>
      <c r="F686" s="174">
        <f t="shared" si="21"/>
        <v>0</v>
      </c>
    </row>
    <row r="687" spans="1:6">
      <c r="A687" s="217">
        <v>222503</v>
      </c>
      <c r="B687" s="218" t="s">
        <v>317</v>
      </c>
      <c r="C687" s="306"/>
      <c r="D687" s="173"/>
      <c r="E687" s="174"/>
      <c r="F687" s="174">
        <f t="shared" si="21"/>
        <v>0</v>
      </c>
    </row>
    <row r="688" spans="1:6">
      <c r="A688" s="217">
        <v>222504</v>
      </c>
      <c r="B688" s="218" t="s">
        <v>318</v>
      </c>
      <c r="C688" s="306"/>
      <c r="D688" s="173"/>
      <c r="E688" s="174"/>
      <c r="F688" s="174">
        <f t="shared" si="21"/>
        <v>0</v>
      </c>
    </row>
    <row r="689" spans="1:6">
      <c r="A689" s="74">
        <v>2251</v>
      </c>
      <c r="B689" s="194" t="s">
        <v>374</v>
      </c>
      <c r="C689" s="306"/>
      <c r="D689" s="52">
        <f>SUM(D690:D693)</f>
        <v>0</v>
      </c>
      <c r="E689" s="52">
        <f>SUM(E690:E693)</f>
        <v>0</v>
      </c>
      <c r="F689" s="52">
        <f>E689/12</f>
        <v>0</v>
      </c>
    </row>
    <row r="690" spans="1:6">
      <c r="A690" s="368">
        <v>225101</v>
      </c>
      <c r="B690" s="368" t="s">
        <v>375</v>
      </c>
      <c r="C690" s="173"/>
      <c r="D690" s="173"/>
      <c r="E690" s="174"/>
      <c r="F690" s="174">
        <f>E690/12</f>
        <v>0</v>
      </c>
    </row>
    <row r="691" spans="1:6">
      <c r="A691" s="368">
        <v>225102</v>
      </c>
      <c r="B691" s="368" t="s">
        <v>376</v>
      </c>
      <c r="C691" s="173"/>
      <c r="D691" s="173"/>
      <c r="E691" s="174"/>
      <c r="F691" s="174">
        <f>E691/12</f>
        <v>0</v>
      </c>
    </row>
    <row r="692" spans="1:6">
      <c r="A692" s="368">
        <v>225103</v>
      </c>
      <c r="B692" s="368" t="s">
        <v>377</v>
      </c>
      <c r="C692" s="173"/>
      <c r="D692" s="173"/>
      <c r="E692" s="174"/>
      <c r="F692" s="174">
        <f t="shared" ref="F692:F693" si="22">E692/12</f>
        <v>0</v>
      </c>
    </row>
    <row r="693" spans="1:6">
      <c r="A693" s="368">
        <v>225104</v>
      </c>
      <c r="B693" s="368" t="s">
        <v>378</v>
      </c>
      <c r="C693" s="173"/>
      <c r="D693" s="173"/>
      <c r="E693" s="174"/>
      <c r="F693" s="174">
        <f t="shared" si="22"/>
        <v>0</v>
      </c>
    </row>
    <row r="694" spans="1:6">
      <c r="A694" s="246">
        <v>2231</v>
      </c>
      <c r="B694" s="247" t="s">
        <v>21</v>
      </c>
      <c r="C694" s="306"/>
      <c r="D694" s="52">
        <f>SUM(D695:D697)</f>
        <v>0</v>
      </c>
      <c r="E694" s="52">
        <f>SUM(E695:E697)</f>
        <v>0</v>
      </c>
      <c r="F694" s="52">
        <f t="shared" si="21"/>
        <v>0</v>
      </c>
    </row>
    <row r="695" spans="1:6">
      <c r="A695" s="217">
        <v>223101</v>
      </c>
      <c r="B695" s="218" t="s">
        <v>319</v>
      </c>
      <c r="C695" s="306"/>
      <c r="D695" s="173"/>
      <c r="E695" s="173"/>
      <c r="F695" s="173">
        <f t="shared" si="21"/>
        <v>0</v>
      </c>
    </row>
    <row r="696" spans="1:6">
      <c r="A696" s="217">
        <v>223102</v>
      </c>
      <c r="B696" s="218" t="s">
        <v>22</v>
      </c>
      <c r="C696" s="306"/>
      <c r="D696" s="173"/>
      <c r="E696" s="173"/>
      <c r="F696" s="173">
        <f t="shared" si="21"/>
        <v>0</v>
      </c>
    </row>
    <row r="697" spans="1:6">
      <c r="A697" s="217">
        <v>223103</v>
      </c>
      <c r="B697" s="218" t="s">
        <v>340</v>
      </c>
      <c r="C697" s="306"/>
      <c r="D697" s="173"/>
      <c r="E697" s="173"/>
      <c r="F697" s="173">
        <f t="shared" si="21"/>
        <v>0</v>
      </c>
    </row>
    <row r="698" spans="1:6">
      <c r="A698" s="246">
        <v>2244</v>
      </c>
      <c r="B698" s="247" t="s">
        <v>321</v>
      </c>
      <c r="C698" s="306"/>
      <c r="D698" s="52">
        <f>SUM(D699:D700)</f>
        <v>0</v>
      </c>
      <c r="E698" s="52">
        <f>SUM(E699:E700)</f>
        <v>0</v>
      </c>
      <c r="F698" s="52">
        <f t="shared" si="21"/>
        <v>0</v>
      </c>
    </row>
    <row r="699" spans="1:6">
      <c r="A699" s="217">
        <v>224401</v>
      </c>
      <c r="B699" s="218" t="s">
        <v>344</v>
      </c>
      <c r="C699" s="306"/>
      <c r="D699" s="173"/>
      <c r="E699" s="173"/>
      <c r="F699" s="173">
        <f t="shared" si="21"/>
        <v>0</v>
      </c>
    </row>
    <row r="700" spans="1:6">
      <c r="A700" s="217">
        <v>224402</v>
      </c>
      <c r="B700" s="218" t="s">
        <v>323</v>
      </c>
      <c r="C700" s="306"/>
      <c r="D700" s="173"/>
      <c r="E700" s="173"/>
      <c r="F700" s="173">
        <f t="shared" si="21"/>
        <v>0</v>
      </c>
    </row>
    <row r="701" spans="1:6">
      <c r="A701" s="246">
        <v>2281</v>
      </c>
      <c r="B701" s="247" t="s">
        <v>13</v>
      </c>
      <c r="C701" s="306"/>
      <c r="D701" s="52">
        <f>D702</f>
        <v>0</v>
      </c>
      <c r="E701" s="52">
        <f>E702</f>
        <v>0</v>
      </c>
      <c r="F701" s="52">
        <f t="shared" si="21"/>
        <v>0</v>
      </c>
    </row>
    <row r="702" spans="1:6">
      <c r="A702" s="217">
        <v>228101</v>
      </c>
      <c r="B702" s="218" t="s">
        <v>325</v>
      </c>
      <c r="C702" s="306"/>
      <c r="D702" s="173"/>
      <c r="E702" s="175"/>
      <c r="F702" s="175">
        <f t="shared" si="21"/>
        <v>0</v>
      </c>
    </row>
    <row r="703" spans="1:6" ht="55.75">
      <c r="A703" s="225">
        <v>20701</v>
      </c>
      <c r="B703" s="255" t="s">
        <v>54</v>
      </c>
      <c r="C703" s="306"/>
      <c r="D703" s="169" t="s">
        <v>261</v>
      </c>
      <c r="E703" s="169" t="s">
        <v>358</v>
      </c>
      <c r="F703" s="169" t="s">
        <v>359</v>
      </c>
    </row>
    <row r="704" spans="1:6">
      <c r="A704" s="234" t="s">
        <v>5</v>
      </c>
      <c r="B704" s="235" t="s">
        <v>65</v>
      </c>
      <c r="C704" s="306"/>
      <c r="D704" s="158">
        <f>D705+D715</f>
        <v>0</v>
      </c>
      <c r="E704" s="158">
        <f>E705+E715</f>
        <v>0</v>
      </c>
      <c r="F704" s="158">
        <f>E704/12</f>
        <v>0</v>
      </c>
    </row>
    <row r="705" spans="1:6">
      <c r="A705" s="228">
        <v>21</v>
      </c>
      <c r="B705" s="229" t="s">
        <v>6</v>
      </c>
      <c r="C705" s="306"/>
      <c r="D705" s="172">
        <f>D706</f>
        <v>0</v>
      </c>
      <c r="E705" s="172">
        <f>E706</f>
        <v>0</v>
      </c>
      <c r="F705" s="172">
        <f t="shared" ref="F705:F751" si="23">E705/12</f>
        <v>0</v>
      </c>
    </row>
    <row r="706" spans="1:6">
      <c r="A706" s="85">
        <v>211</v>
      </c>
      <c r="B706" s="86" t="s">
        <v>7</v>
      </c>
      <c r="C706" s="306"/>
      <c r="D706" s="62">
        <f>D707+D709+D711+D713</f>
        <v>0</v>
      </c>
      <c r="E706" s="62">
        <f>E707+E709+E711+E713</f>
        <v>0</v>
      </c>
      <c r="F706" s="62">
        <f t="shared" si="23"/>
        <v>0</v>
      </c>
    </row>
    <row r="707" spans="1:6">
      <c r="A707" s="74">
        <v>2111</v>
      </c>
      <c r="B707" s="194" t="s">
        <v>8</v>
      </c>
      <c r="C707" s="306"/>
      <c r="D707" s="52">
        <f>D708</f>
        <v>0</v>
      </c>
      <c r="E707" s="52">
        <f>E708</f>
        <v>0</v>
      </c>
      <c r="F707" s="52">
        <f t="shared" si="23"/>
        <v>0</v>
      </c>
    </row>
    <row r="708" spans="1:6">
      <c r="A708" s="217">
        <v>211107</v>
      </c>
      <c r="B708" s="218" t="s">
        <v>346</v>
      </c>
      <c r="C708" s="306"/>
      <c r="D708" s="173"/>
      <c r="E708" s="173"/>
      <c r="F708" s="173">
        <f t="shared" si="23"/>
        <v>0</v>
      </c>
    </row>
    <row r="709" spans="1:6">
      <c r="A709" s="74">
        <v>2112</v>
      </c>
      <c r="B709" s="194" t="s">
        <v>52</v>
      </c>
      <c r="C709" s="306"/>
      <c r="D709" s="52">
        <f>D710</f>
        <v>0</v>
      </c>
      <c r="E709" s="52">
        <f>E710</f>
        <v>0</v>
      </c>
      <c r="F709" s="52">
        <f t="shared" si="23"/>
        <v>0</v>
      </c>
    </row>
    <row r="710" spans="1:6">
      <c r="A710" s="217">
        <v>211201</v>
      </c>
      <c r="B710" s="218" t="s">
        <v>380</v>
      </c>
      <c r="C710" s="306"/>
      <c r="D710" s="173"/>
      <c r="E710" s="173"/>
      <c r="F710" s="173">
        <f t="shared" si="23"/>
        <v>0</v>
      </c>
    </row>
    <row r="711" spans="1:6">
      <c r="A711" s="74">
        <v>2113</v>
      </c>
      <c r="B711" s="194" t="s">
        <v>10</v>
      </c>
      <c r="C711" s="306"/>
      <c r="D711" s="52">
        <f>D712</f>
        <v>0</v>
      </c>
      <c r="E711" s="52">
        <f>E712</f>
        <v>0</v>
      </c>
      <c r="F711" s="52">
        <f t="shared" si="23"/>
        <v>0</v>
      </c>
    </row>
    <row r="712" spans="1:6">
      <c r="A712" s="217">
        <v>211307</v>
      </c>
      <c r="B712" s="218" t="s">
        <v>381</v>
      </c>
      <c r="C712" s="306"/>
      <c r="D712" s="173"/>
      <c r="E712" s="173"/>
      <c r="F712" s="173">
        <f t="shared" si="23"/>
        <v>0</v>
      </c>
    </row>
    <row r="713" spans="1:6">
      <c r="A713" s="74">
        <v>2115</v>
      </c>
      <c r="B713" s="194" t="s">
        <v>13</v>
      </c>
      <c r="C713" s="306"/>
      <c r="D713" s="52">
        <f>D714</f>
        <v>0</v>
      </c>
      <c r="E713" s="52">
        <f>E714</f>
        <v>0</v>
      </c>
      <c r="F713" s="52">
        <f t="shared" si="23"/>
        <v>0</v>
      </c>
    </row>
    <row r="714" spans="1:6">
      <c r="A714" s="217">
        <v>211501</v>
      </c>
      <c r="B714" s="218" t="s">
        <v>14</v>
      </c>
      <c r="C714" s="306"/>
      <c r="D714" s="174"/>
      <c r="E714" s="174"/>
      <c r="F714" s="174">
        <f t="shared" si="23"/>
        <v>0</v>
      </c>
    </row>
    <row r="715" spans="1:6">
      <c r="A715" s="228">
        <v>22</v>
      </c>
      <c r="B715" s="229" t="s">
        <v>15</v>
      </c>
      <c r="C715" s="306"/>
      <c r="D715" s="172">
        <f>D716</f>
        <v>0</v>
      </c>
      <c r="E715" s="172">
        <f>E716</f>
        <v>0</v>
      </c>
      <c r="F715" s="172">
        <f t="shared" si="23"/>
        <v>0</v>
      </c>
    </row>
    <row r="716" spans="1:6">
      <c r="A716" s="85">
        <v>221</v>
      </c>
      <c r="B716" s="86" t="s">
        <v>16</v>
      </c>
      <c r="C716" s="306"/>
      <c r="D716" s="62">
        <f>D717+D721+D724+D727+D730+D735+D740+D744+D750</f>
        <v>0</v>
      </c>
      <c r="E716" s="62">
        <f>E717+E721+E724+E727+E730+E735+E740+E744+E750</f>
        <v>0</v>
      </c>
      <c r="F716" s="62">
        <f t="shared" si="23"/>
        <v>0</v>
      </c>
    </row>
    <row r="717" spans="1:6">
      <c r="A717" s="74">
        <v>2211</v>
      </c>
      <c r="B717" s="194" t="s">
        <v>304</v>
      </c>
      <c r="C717" s="306"/>
      <c r="D717" s="52">
        <f>SUM(D718:D720)</f>
        <v>0</v>
      </c>
      <c r="E717" s="52">
        <f>SUM(E718:E720)</f>
        <v>0</v>
      </c>
      <c r="F717" s="52">
        <f t="shared" si="23"/>
        <v>0</v>
      </c>
    </row>
    <row r="718" spans="1:6">
      <c r="A718" s="268">
        <v>221101</v>
      </c>
      <c r="B718" s="269" t="s">
        <v>305</v>
      </c>
      <c r="C718" s="306"/>
      <c r="D718" s="173"/>
      <c r="E718" s="173"/>
      <c r="F718" s="173">
        <f t="shared" si="23"/>
        <v>0</v>
      </c>
    </row>
    <row r="719" spans="1:6">
      <c r="A719" s="268">
        <v>221102</v>
      </c>
      <c r="B719" s="269" t="s">
        <v>30</v>
      </c>
      <c r="C719" s="306"/>
      <c r="D719" s="173"/>
      <c r="E719" s="173"/>
      <c r="F719" s="173">
        <f t="shared" si="23"/>
        <v>0</v>
      </c>
    </row>
    <row r="720" spans="1:6">
      <c r="A720" s="217">
        <v>221103</v>
      </c>
      <c r="B720" s="218" t="s">
        <v>306</v>
      </c>
      <c r="C720" s="306"/>
      <c r="D720" s="173"/>
      <c r="E720" s="173"/>
      <c r="F720" s="173">
        <f t="shared" si="23"/>
        <v>0</v>
      </c>
    </row>
    <row r="721" spans="1:6">
      <c r="A721" s="246">
        <v>2221</v>
      </c>
      <c r="B721" s="247" t="s">
        <v>17</v>
      </c>
      <c r="C721" s="306"/>
      <c r="D721" s="52">
        <f>SUM(D722:D723)</f>
        <v>0</v>
      </c>
      <c r="E721" s="52">
        <f>SUM(E722:E723)</f>
        <v>0</v>
      </c>
      <c r="F721" s="52">
        <f t="shared" si="23"/>
        <v>0</v>
      </c>
    </row>
    <row r="722" spans="1:6">
      <c r="A722" s="217">
        <v>222101</v>
      </c>
      <c r="B722" s="218" t="s">
        <v>18</v>
      </c>
      <c r="C722" s="306"/>
      <c r="D722" s="174"/>
      <c r="E722" s="173"/>
      <c r="F722" s="173">
        <f t="shared" si="23"/>
        <v>0</v>
      </c>
    </row>
    <row r="723" spans="1:6">
      <c r="A723" s="217">
        <v>222102</v>
      </c>
      <c r="B723" s="218" t="s">
        <v>19</v>
      </c>
      <c r="C723" s="306"/>
      <c r="D723" s="174"/>
      <c r="E723" s="173"/>
      <c r="F723" s="173">
        <f t="shared" si="23"/>
        <v>0</v>
      </c>
    </row>
    <row r="724" spans="1:6">
      <c r="A724" s="74">
        <v>2222</v>
      </c>
      <c r="B724" s="194" t="s">
        <v>20</v>
      </c>
      <c r="C724" s="306"/>
      <c r="D724" s="52">
        <f>SUM(D725:D726)</f>
        <v>0</v>
      </c>
      <c r="E724" s="52">
        <f>SUM(E725:E726)</f>
        <v>0</v>
      </c>
      <c r="F724" s="52">
        <f t="shared" si="23"/>
        <v>0</v>
      </c>
    </row>
    <row r="725" spans="1:6">
      <c r="A725" s="217">
        <v>222201</v>
      </c>
      <c r="B725" s="218" t="s">
        <v>309</v>
      </c>
      <c r="C725" s="306"/>
      <c r="D725" s="173"/>
      <c r="E725" s="173"/>
      <c r="F725" s="175">
        <f t="shared" si="23"/>
        <v>0</v>
      </c>
    </row>
    <row r="726" spans="1:6">
      <c r="A726" s="217">
        <v>222202</v>
      </c>
      <c r="B726" s="218" t="s">
        <v>328</v>
      </c>
      <c r="C726" s="306"/>
      <c r="D726" s="173"/>
      <c r="E726" s="175"/>
      <c r="F726" s="175">
        <f t="shared" si="23"/>
        <v>0</v>
      </c>
    </row>
    <row r="727" spans="1:6">
      <c r="A727" s="246">
        <v>2223</v>
      </c>
      <c r="B727" s="247" t="s">
        <v>23</v>
      </c>
      <c r="C727" s="306"/>
      <c r="D727" s="52">
        <f>SUM(D728:D729)</f>
        <v>0</v>
      </c>
      <c r="E727" s="52">
        <f>SUM(E728:E729)</f>
        <v>0</v>
      </c>
      <c r="F727" s="52">
        <f t="shared" si="23"/>
        <v>0</v>
      </c>
    </row>
    <row r="728" spans="1:6">
      <c r="A728" s="217">
        <v>222301</v>
      </c>
      <c r="B728" s="218" t="s">
        <v>310</v>
      </c>
      <c r="C728" s="306"/>
      <c r="D728" s="173"/>
      <c r="E728" s="173"/>
      <c r="F728" s="173">
        <f t="shared" si="23"/>
        <v>0</v>
      </c>
    </row>
    <row r="729" spans="1:6">
      <c r="A729" s="217">
        <v>222302</v>
      </c>
      <c r="B729" s="218" t="s">
        <v>24</v>
      </c>
      <c r="C729" s="306"/>
      <c r="D729" s="173"/>
      <c r="E729" s="173"/>
      <c r="F729" s="173">
        <f t="shared" si="23"/>
        <v>0</v>
      </c>
    </row>
    <row r="730" spans="1:6">
      <c r="A730" s="246">
        <v>2224</v>
      </c>
      <c r="B730" s="194" t="s">
        <v>330</v>
      </c>
      <c r="C730" s="306"/>
      <c r="D730" s="52">
        <f>SUM(D731:D734)</f>
        <v>0</v>
      </c>
      <c r="E730" s="52">
        <f>SUM(E731:E734)</f>
        <v>0</v>
      </c>
      <c r="F730" s="52">
        <f t="shared" si="23"/>
        <v>0</v>
      </c>
    </row>
    <row r="731" spans="1:6">
      <c r="A731" s="217">
        <v>222401</v>
      </c>
      <c r="B731" s="218" t="s">
        <v>343</v>
      </c>
      <c r="C731" s="306"/>
      <c r="D731" s="173"/>
      <c r="E731" s="173"/>
      <c r="F731" s="173">
        <f t="shared" si="23"/>
        <v>0</v>
      </c>
    </row>
    <row r="732" spans="1:6">
      <c r="A732" s="217">
        <v>222403</v>
      </c>
      <c r="B732" s="218" t="s">
        <v>312</v>
      </c>
      <c r="C732" s="306"/>
      <c r="D732" s="173"/>
      <c r="E732" s="173"/>
      <c r="F732" s="173">
        <f t="shared" si="23"/>
        <v>0</v>
      </c>
    </row>
    <row r="733" spans="1:6">
      <c r="A733" s="217">
        <v>222404</v>
      </c>
      <c r="B733" s="218" t="s">
        <v>313</v>
      </c>
      <c r="C733" s="306"/>
      <c r="D733" s="173"/>
      <c r="E733" s="173"/>
      <c r="F733" s="173">
        <f t="shared" si="23"/>
        <v>0</v>
      </c>
    </row>
    <row r="734" spans="1:6">
      <c r="A734" s="217">
        <v>222405</v>
      </c>
      <c r="B734" s="218" t="s">
        <v>314</v>
      </c>
      <c r="C734" s="306"/>
      <c r="D734" s="173"/>
      <c r="E734" s="173"/>
      <c r="F734" s="173">
        <f t="shared" si="23"/>
        <v>0</v>
      </c>
    </row>
    <row r="735" spans="1:6">
      <c r="A735" s="74">
        <v>2225</v>
      </c>
      <c r="B735" s="194" t="s">
        <v>331</v>
      </c>
      <c r="C735" s="306"/>
      <c r="D735" s="52">
        <f>SUM(D736:D739)</f>
        <v>0</v>
      </c>
      <c r="E735" s="52">
        <f>SUM(E736:E739)</f>
        <v>0</v>
      </c>
      <c r="F735" s="52">
        <f t="shared" si="23"/>
        <v>0</v>
      </c>
    </row>
    <row r="736" spans="1:6">
      <c r="A736" s="217">
        <v>222501</v>
      </c>
      <c r="B736" s="218" t="s">
        <v>315</v>
      </c>
      <c r="C736" s="306"/>
      <c r="D736" s="174"/>
      <c r="E736" s="174"/>
      <c r="F736" s="174">
        <f t="shared" si="23"/>
        <v>0</v>
      </c>
    </row>
    <row r="737" spans="1:6">
      <c r="A737" s="217">
        <v>222502</v>
      </c>
      <c r="B737" s="218" t="s">
        <v>316</v>
      </c>
      <c r="C737" s="306"/>
      <c r="D737" s="174"/>
      <c r="E737" s="174"/>
      <c r="F737" s="174">
        <f t="shared" si="23"/>
        <v>0</v>
      </c>
    </row>
    <row r="738" spans="1:6">
      <c r="A738" s="217">
        <v>222503</v>
      </c>
      <c r="B738" s="218" t="s">
        <v>317</v>
      </c>
      <c r="C738" s="306"/>
      <c r="D738" s="174"/>
      <c r="E738" s="174"/>
      <c r="F738" s="174">
        <f t="shared" si="23"/>
        <v>0</v>
      </c>
    </row>
    <row r="739" spans="1:6">
      <c r="A739" s="217">
        <v>222504</v>
      </c>
      <c r="B739" s="218" t="s">
        <v>318</v>
      </c>
      <c r="C739" s="306"/>
      <c r="D739" s="174"/>
      <c r="E739" s="174"/>
      <c r="F739" s="174">
        <f t="shared" si="23"/>
        <v>0</v>
      </c>
    </row>
    <row r="740" spans="1:6">
      <c r="A740" s="246">
        <v>2231</v>
      </c>
      <c r="B740" s="247" t="s">
        <v>21</v>
      </c>
      <c r="C740" s="306"/>
      <c r="D740" s="52">
        <f>SUM(D741:D743)</f>
        <v>0</v>
      </c>
      <c r="E740" s="52">
        <f>SUM(E741:E743)</f>
        <v>0</v>
      </c>
      <c r="F740" s="52">
        <f t="shared" si="23"/>
        <v>0</v>
      </c>
    </row>
    <row r="741" spans="1:6">
      <c r="A741" s="217">
        <v>223101</v>
      </c>
      <c r="B741" s="218" t="s">
        <v>319</v>
      </c>
      <c r="C741" s="306"/>
      <c r="D741" s="173"/>
      <c r="E741" s="173"/>
      <c r="F741" s="174">
        <f t="shared" si="23"/>
        <v>0</v>
      </c>
    </row>
    <row r="742" spans="1:6">
      <c r="A742" s="217">
        <v>223102</v>
      </c>
      <c r="B742" s="218" t="s">
        <v>22</v>
      </c>
      <c r="C742" s="306"/>
      <c r="D742" s="173"/>
      <c r="E742" s="173"/>
      <c r="F742" s="174">
        <f t="shared" si="23"/>
        <v>0</v>
      </c>
    </row>
    <row r="743" spans="1:6">
      <c r="A743" s="217">
        <v>223103</v>
      </c>
      <c r="B743" s="218" t="s">
        <v>340</v>
      </c>
      <c r="C743" s="306"/>
      <c r="D743" s="174"/>
      <c r="E743" s="174"/>
      <c r="F743" s="174">
        <f t="shared" si="23"/>
        <v>0</v>
      </c>
    </row>
    <row r="744" spans="1:6">
      <c r="A744" s="246">
        <v>2244</v>
      </c>
      <c r="B744" s="247" t="s">
        <v>321</v>
      </c>
      <c r="C744" s="306"/>
      <c r="D744" s="52">
        <f>SUM(D745:D746)</f>
        <v>0</v>
      </c>
      <c r="E744" s="52">
        <f>SUM(E745:E746)</f>
        <v>0</v>
      </c>
      <c r="F744" s="52">
        <f t="shared" si="23"/>
        <v>0</v>
      </c>
    </row>
    <row r="745" spans="1:6">
      <c r="A745" s="217">
        <v>224401</v>
      </c>
      <c r="B745" s="218" t="s">
        <v>344</v>
      </c>
      <c r="C745" s="306"/>
      <c r="D745" s="173"/>
      <c r="E745" s="173"/>
      <c r="F745" s="173">
        <f t="shared" si="23"/>
        <v>0</v>
      </c>
    </row>
    <row r="746" spans="1:6">
      <c r="A746" s="217">
        <v>224402</v>
      </c>
      <c r="B746" s="218" t="s">
        <v>323</v>
      </c>
      <c r="C746" s="306"/>
      <c r="D746" s="174"/>
      <c r="E746" s="174"/>
      <c r="F746" s="173">
        <f t="shared" si="23"/>
        <v>0</v>
      </c>
    </row>
    <row r="747" spans="1:6">
      <c r="A747" s="74">
        <v>2251</v>
      </c>
      <c r="B747" s="194" t="s">
        <v>374</v>
      </c>
      <c r="C747" s="306"/>
      <c r="D747" s="52">
        <f>SUM(D748:D749)</f>
        <v>0</v>
      </c>
      <c r="E747" s="52">
        <f>SUM(E748:E749)</f>
        <v>0</v>
      </c>
      <c r="F747" s="52">
        <f>E747/12</f>
        <v>0</v>
      </c>
    </row>
    <row r="748" spans="1:6">
      <c r="A748" s="368">
        <v>225101</v>
      </c>
      <c r="B748" s="368" t="s">
        <v>375</v>
      </c>
      <c r="C748" s="173"/>
      <c r="D748" s="173"/>
      <c r="E748" s="174"/>
      <c r="F748" s="174">
        <f>E748/12</f>
        <v>0</v>
      </c>
    </row>
    <row r="749" spans="1:6">
      <c r="A749" s="368">
        <v>225104</v>
      </c>
      <c r="B749" s="368" t="s">
        <v>378</v>
      </c>
      <c r="C749" s="173"/>
      <c r="D749" s="173"/>
      <c r="E749" s="174"/>
      <c r="F749" s="174">
        <f>E749/12</f>
        <v>0</v>
      </c>
    </row>
    <row r="750" spans="1:6">
      <c r="A750" s="246">
        <v>2281</v>
      </c>
      <c r="B750" s="247" t="s">
        <v>13</v>
      </c>
      <c r="C750" s="306"/>
      <c r="D750" s="52">
        <f>D751</f>
        <v>0</v>
      </c>
      <c r="E750" s="52">
        <f>E751</f>
        <v>0</v>
      </c>
      <c r="F750" s="52">
        <f t="shared" si="23"/>
        <v>0</v>
      </c>
    </row>
    <row r="751" spans="1:6">
      <c r="A751" s="217">
        <v>228101</v>
      </c>
      <c r="B751" s="218" t="s">
        <v>325</v>
      </c>
      <c r="C751" s="306"/>
      <c r="D751" s="174"/>
      <c r="E751" s="173"/>
      <c r="F751" s="173">
        <f t="shared" si="23"/>
        <v>0</v>
      </c>
    </row>
    <row r="752" spans="1:6" ht="55.75">
      <c r="A752" s="225">
        <v>30101</v>
      </c>
      <c r="B752" s="255" t="s">
        <v>61</v>
      </c>
      <c r="C752" s="306"/>
      <c r="D752" s="169" t="s">
        <v>261</v>
      </c>
      <c r="E752" s="169" t="s">
        <v>358</v>
      </c>
      <c r="F752" s="169" t="s">
        <v>363</v>
      </c>
    </row>
    <row r="753" spans="1:6">
      <c r="A753" s="234" t="s">
        <v>5</v>
      </c>
      <c r="B753" s="235" t="s">
        <v>65</v>
      </c>
      <c r="C753" s="306"/>
      <c r="D753" s="158">
        <f>D754+D765</f>
        <v>0</v>
      </c>
      <c r="E753" s="158">
        <f>E754+E765</f>
        <v>0</v>
      </c>
      <c r="F753" s="158">
        <f>E753/12</f>
        <v>0</v>
      </c>
    </row>
    <row r="754" spans="1:6">
      <c r="A754" s="307">
        <v>21</v>
      </c>
      <c r="B754" s="308" t="s">
        <v>6</v>
      </c>
      <c r="C754" s="306"/>
      <c r="D754" s="309">
        <f>D755</f>
        <v>0</v>
      </c>
      <c r="E754" s="309">
        <f>E755</f>
        <v>0</v>
      </c>
      <c r="F754" s="309">
        <f t="shared" ref="F754:F798" si="24">E754/12</f>
        <v>0</v>
      </c>
    </row>
    <row r="755" spans="1:6">
      <c r="A755" s="310">
        <v>211</v>
      </c>
      <c r="B755" s="311" t="s">
        <v>7</v>
      </c>
      <c r="C755" s="306"/>
      <c r="D755" s="312">
        <f>D756+D759+D763</f>
        <v>0</v>
      </c>
      <c r="E755" s="312">
        <f>E756+E759+E763</f>
        <v>0</v>
      </c>
      <c r="F755" s="312">
        <f t="shared" si="24"/>
        <v>0</v>
      </c>
    </row>
    <row r="756" spans="1:6">
      <c r="A756" s="313">
        <v>2111</v>
      </c>
      <c r="B756" s="313" t="s">
        <v>8</v>
      </c>
      <c r="C756" s="306"/>
      <c r="D756" s="52">
        <f>SUM(D757:D758)</f>
        <v>0</v>
      </c>
      <c r="E756" s="52">
        <f>SUM(E757:E758)</f>
        <v>0</v>
      </c>
      <c r="F756" s="52">
        <f t="shared" si="24"/>
        <v>0</v>
      </c>
    </row>
    <row r="757" spans="1:6">
      <c r="A757" s="314">
        <v>211101</v>
      </c>
      <c r="B757" s="315" t="s">
        <v>9</v>
      </c>
      <c r="C757" s="306"/>
      <c r="D757" s="316"/>
      <c r="E757" s="174"/>
      <c r="F757" s="174">
        <f t="shared" si="24"/>
        <v>0</v>
      </c>
    </row>
    <row r="758" spans="1:6">
      <c r="A758" s="314">
        <v>211106</v>
      </c>
      <c r="B758" s="315" t="s">
        <v>33</v>
      </c>
      <c r="C758" s="306"/>
      <c r="D758" s="316"/>
      <c r="E758" s="174"/>
      <c r="F758" s="174">
        <f t="shared" si="24"/>
        <v>0</v>
      </c>
    </row>
    <row r="759" spans="1:6">
      <c r="A759" s="313">
        <v>2113</v>
      </c>
      <c r="B759" s="313" t="s">
        <v>10</v>
      </c>
      <c r="C759" s="306"/>
      <c r="D759" s="52">
        <f>SUM(D760:D762)</f>
        <v>0</v>
      </c>
      <c r="E759" s="52">
        <f>SUM(E760:E762)</f>
        <v>0</v>
      </c>
      <c r="F759" s="52">
        <f t="shared" si="24"/>
        <v>0</v>
      </c>
    </row>
    <row r="760" spans="1:6">
      <c r="A760" s="314">
        <v>211301</v>
      </c>
      <c r="B760" s="315" t="s">
        <v>11</v>
      </c>
      <c r="C760" s="306"/>
      <c r="D760" s="316"/>
      <c r="E760" s="174"/>
      <c r="F760" s="174">
        <f t="shared" si="24"/>
        <v>0</v>
      </c>
    </row>
    <row r="761" spans="1:6">
      <c r="A761" s="314">
        <v>211306</v>
      </c>
      <c r="B761" s="315" t="s">
        <v>34</v>
      </c>
      <c r="C761" s="306"/>
      <c r="D761" s="316"/>
      <c r="E761" s="316"/>
      <c r="F761" s="174">
        <f t="shared" si="24"/>
        <v>0</v>
      </c>
    </row>
    <row r="762" spans="1:6">
      <c r="A762" s="314">
        <v>211308</v>
      </c>
      <c r="B762" s="315" t="s">
        <v>12</v>
      </c>
      <c r="C762" s="306"/>
      <c r="D762" s="316"/>
      <c r="E762" s="173"/>
      <c r="F762" s="174">
        <f t="shared" si="24"/>
        <v>0</v>
      </c>
    </row>
    <row r="763" spans="1:6">
      <c r="A763" s="313">
        <v>2115</v>
      </c>
      <c r="B763" s="313" t="s">
        <v>13</v>
      </c>
      <c r="C763" s="306"/>
      <c r="D763" s="52">
        <f>D764</f>
        <v>0</v>
      </c>
      <c r="E763" s="52">
        <f>E764</f>
        <v>0</v>
      </c>
      <c r="F763" s="52">
        <f t="shared" si="24"/>
        <v>0</v>
      </c>
    </row>
    <row r="764" spans="1:6">
      <c r="A764" s="314">
        <v>211501</v>
      </c>
      <c r="B764" s="315" t="s">
        <v>14</v>
      </c>
      <c r="C764" s="306"/>
      <c r="D764" s="316"/>
      <c r="E764" s="173"/>
      <c r="F764" s="173">
        <f t="shared" si="24"/>
        <v>0</v>
      </c>
    </row>
    <row r="765" spans="1:6">
      <c r="A765" s="307">
        <v>22</v>
      </c>
      <c r="B765" s="308" t="s">
        <v>15</v>
      </c>
      <c r="C765" s="306"/>
      <c r="D765" s="309">
        <f>D766</f>
        <v>0</v>
      </c>
      <c r="E765" s="309">
        <f>E766</f>
        <v>0</v>
      </c>
      <c r="F765" s="309">
        <f t="shared" si="24"/>
        <v>0</v>
      </c>
    </row>
    <row r="766" spans="1:6">
      <c r="A766" s="310">
        <v>221</v>
      </c>
      <c r="B766" s="311" t="s">
        <v>16</v>
      </c>
      <c r="C766" s="306"/>
      <c r="D766" s="312">
        <f>D767+D771+D774+D777+D780+D785+D790+D794+D797</f>
        <v>0</v>
      </c>
      <c r="E766" s="312">
        <f>E767+E771+E774+E777+E780+E785+E790+E794+E797</f>
        <v>0</v>
      </c>
      <c r="F766" s="312">
        <f t="shared" si="24"/>
        <v>0</v>
      </c>
    </row>
    <row r="767" spans="1:6">
      <c r="A767" s="74">
        <v>2211</v>
      </c>
      <c r="B767" s="194" t="s">
        <v>304</v>
      </c>
      <c r="C767" s="306"/>
      <c r="D767" s="52">
        <f>SUM(D768:D770)</f>
        <v>0</v>
      </c>
      <c r="E767" s="52">
        <f>SUM(E768:E770)</f>
        <v>0</v>
      </c>
      <c r="F767" s="52">
        <f t="shared" si="24"/>
        <v>0</v>
      </c>
    </row>
    <row r="768" spans="1:6">
      <c r="A768" s="268">
        <v>221101</v>
      </c>
      <c r="B768" s="269" t="s">
        <v>305</v>
      </c>
      <c r="C768" s="306"/>
      <c r="D768" s="316"/>
      <c r="E768" s="175"/>
      <c r="F768" s="175">
        <f t="shared" si="24"/>
        <v>0</v>
      </c>
    </row>
    <row r="769" spans="1:6">
      <c r="A769" s="268">
        <v>221102</v>
      </c>
      <c r="B769" s="269" t="s">
        <v>30</v>
      </c>
      <c r="C769" s="306"/>
      <c r="D769" s="316"/>
      <c r="E769" s="316"/>
      <c r="F769" s="175">
        <f t="shared" si="24"/>
        <v>0</v>
      </c>
    </row>
    <row r="770" spans="1:6">
      <c r="A770" s="217">
        <v>221103</v>
      </c>
      <c r="B770" s="218" t="s">
        <v>306</v>
      </c>
      <c r="C770" s="306"/>
      <c r="D770" s="316"/>
      <c r="E770" s="175"/>
      <c r="F770" s="175">
        <f t="shared" si="24"/>
        <v>0</v>
      </c>
    </row>
    <row r="771" spans="1:6">
      <c r="A771" s="246">
        <v>2221</v>
      </c>
      <c r="B771" s="247" t="s">
        <v>17</v>
      </c>
      <c r="C771" s="306"/>
      <c r="D771" s="52">
        <f>SUM(D772:D773)</f>
        <v>0</v>
      </c>
      <c r="E771" s="52">
        <f>SUM(E772:E773)</f>
        <v>0</v>
      </c>
      <c r="F771" s="52">
        <f t="shared" si="24"/>
        <v>0</v>
      </c>
    </row>
    <row r="772" spans="1:6">
      <c r="A772" s="217">
        <v>222101</v>
      </c>
      <c r="B772" s="218" t="s">
        <v>18</v>
      </c>
      <c r="C772" s="306"/>
      <c r="D772" s="316"/>
      <c r="E772" s="316"/>
      <c r="F772" s="316">
        <f t="shared" si="24"/>
        <v>0</v>
      </c>
    </row>
    <row r="773" spans="1:6">
      <c r="A773" s="217">
        <v>222102</v>
      </c>
      <c r="B773" s="218" t="s">
        <v>19</v>
      </c>
      <c r="C773" s="306"/>
      <c r="D773" s="316"/>
      <c r="E773" s="173"/>
      <c r="F773" s="316">
        <f t="shared" si="24"/>
        <v>0</v>
      </c>
    </row>
    <row r="774" spans="1:6">
      <c r="A774" s="74">
        <v>2222</v>
      </c>
      <c r="B774" s="194" t="s">
        <v>20</v>
      </c>
      <c r="C774" s="306"/>
      <c r="D774" s="52">
        <f>SUM(D775:D776)</f>
        <v>0</v>
      </c>
      <c r="E774" s="52">
        <f>SUM(E775:E776)</f>
        <v>0</v>
      </c>
      <c r="F774" s="52">
        <f t="shared" si="24"/>
        <v>0</v>
      </c>
    </row>
    <row r="775" spans="1:6">
      <c r="A775" s="217">
        <v>222201</v>
      </c>
      <c r="B775" s="218" t="s">
        <v>309</v>
      </c>
      <c r="C775" s="306"/>
      <c r="D775" s="316"/>
      <c r="E775" s="173"/>
      <c r="F775" s="173">
        <f t="shared" si="24"/>
        <v>0</v>
      </c>
    </row>
    <row r="776" spans="1:6">
      <c r="A776" s="217">
        <v>222202</v>
      </c>
      <c r="B776" s="218" t="s">
        <v>328</v>
      </c>
      <c r="C776" s="306"/>
      <c r="D776" s="316"/>
      <c r="E776" s="316"/>
      <c r="F776" s="173">
        <f t="shared" si="24"/>
        <v>0</v>
      </c>
    </row>
    <row r="777" spans="1:6">
      <c r="A777" s="246">
        <v>2223</v>
      </c>
      <c r="B777" s="247" t="s">
        <v>23</v>
      </c>
      <c r="C777" s="306"/>
      <c r="D777" s="52">
        <f>SUM(D778:D779)</f>
        <v>0</v>
      </c>
      <c r="E777" s="52">
        <f>SUM(E778:E779)</f>
        <v>0</v>
      </c>
      <c r="F777" s="52">
        <f t="shared" si="24"/>
        <v>0</v>
      </c>
    </row>
    <row r="778" spans="1:6">
      <c r="A778" s="217">
        <v>222301</v>
      </c>
      <c r="B778" s="218" t="s">
        <v>310</v>
      </c>
      <c r="C778" s="306"/>
      <c r="D778" s="316"/>
      <c r="E778" s="174"/>
      <c r="F778" s="174">
        <f t="shared" si="24"/>
        <v>0</v>
      </c>
    </row>
    <row r="779" spans="1:6">
      <c r="A779" s="217">
        <v>222302</v>
      </c>
      <c r="B779" s="218" t="s">
        <v>24</v>
      </c>
      <c r="C779" s="306"/>
      <c r="D779" s="316"/>
      <c r="E779" s="316"/>
      <c r="F779" s="174">
        <f t="shared" si="24"/>
        <v>0</v>
      </c>
    </row>
    <row r="780" spans="1:6">
      <c r="A780" s="246">
        <v>2224</v>
      </c>
      <c r="B780" s="194" t="s">
        <v>330</v>
      </c>
      <c r="C780" s="306"/>
      <c r="D780" s="52">
        <f>SUM(D781:D784)</f>
        <v>0</v>
      </c>
      <c r="E780" s="52">
        <f>SUM(E781:E784)</f>
        <v>0</v>
      </c>
      <c r="F780" s="52">
        <f t="shared" si="24"/>
        <v>0</v>
      </c>
    </row>
    <row r="781" spans="1:6">
      <c r="A781" s="217">
        <v>222401</v>
      </c>
      <c r="B781" s="218" t="s">
        <v>343</v>
      </c>
      <c r="C781" s="306"/>
      <c r="D781" s="316"/>
      <c r="E781" s="173"/>
      <c r="F781" s="173">
        <f t="shared" si="24"/>
        <v>0</v>
      </c>
    </row>
    <row r="782" spans="1:6">
      <c r="A782" s="217">
        <v>222403</v>
      </c>
      <c r="B782" s="218" t="s">
        <v>312</v>
      </c>
      <c r="C782" s="306"/>
      <c r="D782" s="316"/>
      <c r="E782" s="173"/>
      <c r="F782" s="173">
        <f t="shared" si="24"/>
        <v>0</v>
      </c>
    </row>
    <row r="783" spans="1:6">
      <c r="A783" s="217">
        <v>222404</v>
      </c>
      <c r="B783" s="218" t="s">
        <v>313</v>
      </c>
      <c r="C783" s="306"/>
      <c r="D783" s="316"/>
      <c r="E783" s="173"/>
      <c r="F783" s="173">
        <f t="shared" si="24"/>
        <v>0</v>
      </c>
    </row>
    <row r="784" spans="1:6">
      <c r="A784" s="217">
        <v>222405</v>
      </c>
      <c r="B784" s="218" t="s">
        <v>314</v>
      </c>
      <c r="C784" s="306"/>
      <c r="D784" s="316"/>
      <c r="E784" s="173"/>
      <c r="F784" s="173">
        <f t="shared" si="24"/>
        <v>0</v>
      </c>
    </row>
    <row r="785" spans="1:6">
      <c r="A785" s="74">
        <v>2225</v>
      </c>
      <c r="B785" s="194" t="s">
        <v>331</v>
      </c>
      <c r="C785" s="306"/>
      <c r="D785" s="52">
        <f>SUM(D786:D789)</f>
        <v>0</v>
      </c>
      <c r="E785" s="52">
        <f>SUM(E786:E789)</f>
        <v>0</v>
      </c>
      <c r="F785" s="52">
        <f t="shared" si="24"/>
        <v>0</v>
      </c>
    </row>
    <row r="786" spans="1:6">
      <c r="A786" s="217">
        <v>222501</v>
      </c>
      <c r="B786" s="218" t="s">
        <v>315</v>
      </c>
      <c r="C786" s="306"/>
      <c r="D786" s="316"/>
      <c r="E786" s="173"/>
      <c r="F786" s="173">
        <f t="shared" si="24"/>
        <v>0</v>
      </c>
    </row>
    <row r="787" spans="1:6">
      <c r="A787" s="217">
        <v>222502</v>
      </c>
      <c r="B787" s="218" t="s">
        <v>316</v>
      </c>
      <c r="C787" s="306"/>
      <c r="D787" s="316"/>
      <c r="E787" s="173"/>
      <c r="F787" s="173">
        <f t="shared" si="24"/>
        <v>0</v>
      </c>
    </row>
    <row r="788" spans="1:6">
      <c r="A788" s="217">
        <v>222503</v>
      </c>
      <c r="B788" s="218" t="s">
        <v>317</v>
      </c>
      <c r="C788" s="306"/>
      <c r="D788" s="316"/>
      <c r="E788" s="173"/>
      <c r="F788" s="173">
        <f t="shared" si="24"/>
        <v>0</v>
      </c>
    </row>
    <row r="789" spans="1:6">
      <c r="A789" s="217">
        <v>222504</v>
      </c>
      <c r="B789" s="218" t="s">
        <v>318</v>
      </c>
      <c r="C789" s="306"/>
      <c r="D789" s="316"/>
      <c r="E789" s="173"/>
      <c r="F789" s="173">
        <f t="shared" si="24"/>
        <v>0</v>
      </c>
    </row>
    <row r="790" spans="1:6">
      <c r="A790" s="246">
        <v>2231</v>
      </c>
      <c r="B790" s="247" t="s">
        <v>21</v>
      </c>
      <c r="C790" s="306"/>
      <c r="D790" s="52">
        <f>SUM(D791:D793)</f>
        <v>0</v>
      </c>
      <c r="E790" s="52">
        <f>SUM(E791:E793)</f>
        <v>0</v>
      </c>
      <c r="F790" s="52">
        <f t="shared" si="24"/>
        <v>0</v>
      </c>
    </row>
    <row r="791" spans="1:6">
      <c r="A791" s="217">
        <v>223101</v>
      </c>
      <c r="B791" s="218" t="s">
        <v>319</v>
      </c>
      <c r="C791" s="306"/>
      <c r="D791" s="316"/>
      <c r="E791" s="173"/>
      <c r="F791" s="173">
        <f t="shared" si="24"/>
        <v>0</v>
      </c>
    </row>
    <row r="792" spans="1:6">
      <c r="A792" s="217">
        <v>223102</v>
      </c>
      <c r="B792" s="218" t="s">
        <v>22</v>
      </c>
      <c r="C792" s="306"/>
      <c r="D792" s="316"/>
      <c r="E792" s="173"/>
      <c r="F792" s="173">
        <f t="shared" si="24"/>
        <v>0</v>
      </c>
    </row>
    <row r="793" spans="1:6">
      <c r="A793" s="217">
        <v>223103</v>
      </c>
      <c r="B793" s="218" t="s">
        <v>340</v>
      </c>
      <c r="C793" s="306"/>
      <c r="D793" s="316"/>
      <c r="E793" s="173"/>
      <c r="F793" s="173">
        <f t="shared" si="24"/>
        <v>0</v>
      </c>
    </row>
    <row r="794" spans="1:6">
      <c r="A794" s="246">
        <v>2244</v>
      </c>
      <c r="B794" s="247" t="s">
        <v>321</v>
      </c>
      <c r="C794" s="306"/>
      <c r="D794" s="52">
        <f>SUM(D795:D796)</f>
        <v>0</v>
      </c>
      <c r="E794" s="52">
        <f>SUM(E795:E796)</f>
        <v>0</v>
      </c>
      <c r="F794" s="52">
        <f t="shared" si="24"/>
        <v>0</v>
      </c>
    </row>
    <row r="795" spans="1:6">
      <c r="A795" s="217">
        <v>224401</v>
      </c>
      <c r="B795" s="218" t="s">
        <v>344</v>
      </c>
      <c r="C795" s="306"/>
      <c r="D795" s="316"/>
      <c r="E795" s="173"/>
      <c r="F795" s="316">
        <f t="shared" si="24"/>
        <v>0</v>
      </c>
    </row>
    <row r="796" spans="1:6">
      <c r="A796" s="217">
        <v>224402</v>
      </c>
      <c r="B796" s="218" t="s">
        <v>323</v>
      </c>
      <c r="C796" s="306"/>
      <c r="D796" s="316"/>
      <c r="E796" s="316"/>
      <c r="F796" s="316">
        <f t="shared" si="24"/>
        <v>0</v>
      </c>
    </row>
    <row r="797" spans="1:6">
      <c r="A797" s="246">
        <v>2281</v>
      </c>
      <c r="B797" s="247" t="s">
        <v>13</v>
      </c>
      <c r="C797" s="306"/>
      <c r="D797" s="52">
        <f>D798</f>
        <v>0</v>
      </c>
      <c r="E797" s="52">
        <f>E798</f>
        <v>0</v>
      </c>
      <c r="F797" s="52">
        <f t="shared" si="24"/>
        <v>0</v>
      </c>
    </row>
    <row r="798" spans="1:6">
      <c r="A798" s="217">
        <v>228101</v>
      </c>
      <c r="B798" s="218" t="s">
        <v>325</v>
      </c>
      <c r="C798" s="306"/>
      <c r="D798" s="316"/>
      <c r="E798" s="174"/>
      <c r="F798" s="174">
        <f t="shared" si="24"/>
        <v>0</v>
      </c>
    </row>
    <row r="799" spans="1:6" ht="55.75">
      <c r="A799" s="225">
        <v>30201</v>
      </c>
      <c r="B799" s="255" t="s">
        <v>32</v>
      </c>
      <c r="C799" s="306"/>
      <c r="D799" s="169" t="s">
        <v>261</v>
      </c>
      <c r="E799" s="169" t="s">
        <v>358</v>
      </c>
      <c r="F799" s="169" t="s">
        <v>363</v>
      </c>
    </row>
    <row r="800" spans="1:6">
      <c r="A800" s="280" t="s">
        <v>5</v>
      </c>
      <c r="B800" s="281" t="s">
        <v>65</v>
      </c>
      <c r="C800" s="306"/>
      <c r="D800" s="282">
        <f>D801+D812</f>
        <v>0</v>
      </c>
      <c r="E800" s="282">
        <f>E801+E812</f>
        <v>0</v>
      </c>
      <c r="F800" s="282">
        <f>E800/12</f>
        <v>0</v>
      </c>
    </row>
    <row r="801" spans="1:6">
      <c r="A801" s="228">
        <v>21</v>
      </c>
      <c r="B801" s="229" t="s">
        <v>6</v>
      </c>
      <c r="C801" s="306"/>
      <c r="D801" s="172">
        <f>D802</f>
        <v>0</v>
      </c>
      <c r="E801" s="172">
        <f>E802</f>
        <v>0</v>
      </c>
      <c r="F801" s="172">
        <f t="shared" ref="F801:F845" si="25">E801/12</f>
        <v>0</v>
      </c>
    </row>
    <row r="802" spans="1:6">
      <c r="A802" s="85">
        <v>211</v>
      </c>
      <c r="B802" s="86" t="s">
        <v>7</v>
      </c>
      <c r="C802" s="306"/>
      <c r="D802" s="62">
        <f>D803+D806+D810</f>
        <v>0</v>
      </c>
      <c r="E802" s="62">
        <f>SUM(E803+E806+E810)</f>
        <v>0</v>
      </c>
      <c r="F802" s="62">
        <f t="shared" si="25"/>
        <v>0</v>
      </c>
    </row>
    <row r="803" spans="1:6">
      <c r="A803" s="74">
        <v>2111</v>
      </c>
      <c r="B803" s="194" t="s">
        <v>8</v>
      </c>
      <c r="C803" s="306"/>
      <c r="D803" s="283">
        <f>SUM(D804:D805)</f>
        <v>0</v>
      </c>
      <c r="E803" s="283">
        <f>SUM(E804:E805)</f>
        <v>0</v>
      </c>
      <c r="F803" s="283">
        <f t="shared" si="25"/>
        <v>0</v>
      </c>
    </row>
    <row r="804" spans="1:6">
      <c r="A804" s="217">
        <v>211101</v>
      </c>
      <c r="B804" s="218" t="s">
        <v>9</v>
      </c>
      <c r="C804" s="306"/>
      <c r="D804" s="173"/>
      <c r="E804" s="173"/>
      <c r="F804" s="173">
        <f t="shared" si="25"/>
        <v>0</v>
      </c>
    </row>
    <row r="805" spans="1:6">
      <c r="A805" s="217">
        <v>211106</v>
      </c>
      <c r="B805" s="218" t="s">
        <v>33</v>
      </c>
      <c r="C805" s="306"/>
      <c r="D805" s="173"/>
      <c r="E805" s="173"/>
      <c r="F805" s="173">
        <f t="shared" si="25"/>
        <v>0</v>
      </c>
    </row>
    <row r="806" spans="1:6">
      <c r="A806" s="74">
        <v>2113</v>
      </c>
      <c r="B806" s="194" t="s">
        <v>10</v>
      </c>
      <c r="C806" s="306"/>
      <c r="D806" s="283">
        <f>SUM(D807:D809)</f>
        <v>0</v>
      </c>
      <c r="E806" s="52">
        <f>SUM(E807:E809)</f>
        <v>0</v>
      </c>
      <c r="F806" s="52">
        <f t="shared" si="25"/>
        <v>0</v>
      </c>
    </row>
    <row r="807" spans="1:6">
      <c r="A807" s="217">
        <v>211301</v>
      </c>
      <c r="B807" s="218" t="s">
        <v>11</v>
      </c>
      <c r="C807" s="306"/>
      <c r="D807" s="174"/>
      <c r="E807" s="173"/>
      <c r="F807" s="175">
        <f t="shared" si="25"/>
        <v>0</v>
      </c>
    </row>
    <row r="808" spans="1:6">
      <c r="A808" s="217">
        <v>211306</v>
      </c>
      <c r="B808" s="218" t="s">
        <v>34</v>
      </c>
      <c r="C808" s="306"/>
      <c r="D808" s="173"/>
      <c r="E808" s="173"/>
      <c r="F808" s="175">
        <f t="shared" si="25"/>
        <v>0</v>
      </c>
    </row>
    <row r="809" spans="1:6">
      <c r="A809" s="217">
        <v>211308</v>
      </c>
      <c r="B809" s="218" t="s">
        <v>12</v>
      </c>
      <c r="C809" s="306"/>
      <c r="D809" s="173"/>
      <c r="E809" s="175"/>
      <c r="F809" s="175">
        <f t="shared" si="25"/>
        <v>0</v>
      </c>
    </row>
    <row r="810" spans="1:6">
      <c r="A810" s="74">
        <v>2115</v>
      </c>
      <c r="B810" s="194" t="s">
        <v>13</v>
      </c>
      <c r="C810" s="306"/>
      <c r="D810" s="283">
        <f>D811</f>
        <v>0</v>
      </c>
      <c r="E810" s="52">
        <f>E811</f>
        <v>0</v>
      </c>
      <c r="F810" s="52">
        <f t="shared" si="25"/>
        <v>0</v>
      </c>
    </row>
    <row r="811" spans="1:6" ht="18.75" customHeight="1">
      <c r="A811" s="217">
        <v>211501</v>
      </c>
      <c r="B811" s="218" t="s">
        <v>14</v>
      </c>
      <c r="C811" s="306"/>
      <c r="D811" s="174"/>
      <c r="E811" s="175"/>
      <c r="F811" s="175">
        <f t="shared" si="25"/>
        <v>0</v>
      </c>
    </row>
    <row r="812" spans="1:6" ht="15.75" customHeight="1">
      <c r="A812" s="228">
        <v>22</v>
      </c>
      <c r="B812" s="229" t="s">
        <v>15</v>
      </c>
      <c r="C812" s="306"/>
      <c r="D812" s="172">
        <f>D813</f>
        <v>0</v>
      </c>
      <c r="E812" s="172">
        <f>E813</f>
        <v>0</v>
      </c>
      <c r="F812" s="172">
        <f t="shared" si="25"/>
        <v>0</v>
      </c>
    </row>
    <row r="813" spans="1:6">
      <c r="A813" s="85">
        <v>221</v>
      </c>
      <c r="B813" s="86" t="s">
        <v>16</v>
      </c>
      <c r="C813" s="306"/>
      <c r="D813" s="62">
        <f>D814+D818+D821+D824+D827+D832+D837+D841+D844</f>
        <v>0</v>
      </c>
      <c r="E813" s="62">
        <f>E814+E818+E821+E824+E827+E832+E837+E841+E844</f>
        <v>0</v>
      </c>
      <c r="F813" s="62">
        <f t="shared" si="25"/>
        <v>0</v>
      </c>
    </row>
    <row r="814" spans="1:6">
      <c r="A814" s="74">
        <v>2211</v>
      </c>
      <c r="B814" s="194" t="s">
        <v>304</v>
      </c>
      <c r="C814" s="306"/>
      <c r="D814" s="283">
        <f>SUM(D815:D817)</f>
        <v>0</v>
      </c>
      <c r="E814" s="283">
        <f>SUM(E815:E817)</f>
        <v>0</v>
      </c>
      <c r="F814" s="283">
        <f t="shared" si="25"/>
        <v>0</v>
      </c>
    </row>
    <row r="815" spans="1:6">
      <c r="A815" s="268">
        <v>221101</v>
      </c>
      <c r="B815" s="269" t="s">
        <v>305</v>
      </c>
      <c r="C815" s="306"/>
      <c r="D815" s="173"/>
      <c r="E815" s="173"/>
      <c r="F815" s="173">
        <f t="shared" si="25"/>
        <v>0</v>
      </c>
    </row>
    <row r="816" spans="1:6">
      <c r="A816" s="268">
        <v>221102</v>
      </c>
      <c r="B816" s="269" t="s">
        <v>30</v>
      </c>
      <c r="C816" s="306"/>
      <c r="D816" s="173"/>
      <c r="E816" s="173"/>
      <c r="F816" s="173">
        <f t="shared" si="25"/>
        <v>0</v>
      </c>
    </row>
    <row r="817" spans="1:6">
      <c r="A817" s="217">
        <v>221103</v>
      </c>
      <c r="B817" s="218" t="s">
        <v>306</v>
      </c>
      <c r="C817" s="306"/>
      <c r="D817" s="173"/>
      <c r="E817" s="173"/>
      <c r="F817" s="173">
        <f t="shared" si="25"/>
        <v>0</v>
      </c>
    </row>
    <row r="818" spans="1:6">
      <c r="A818" s="246">
        <v>2221</v>
      </c>
      <c r="B818" s="247" t="s">
        <v>17</v>
      </c>
      <c r="C818" s="306"/>
      <c r="D818" s="283">
        <f>SUM(D819:D820)</f>
        <v>0</v>
      </c>
      <c r="E818" s="283">
        <f>SUM(E819:E820)</f>
        <v>0</v>
      </c>
      <c r="F818" s="283">
        <f t="shared" si="25"/>
        <v>0</v>
      </c>
    </row>
    <row r="819" spans="1:6">
      <c r="A819" s="217">
        <v>222101</v>
      </c>
      <c r="B819" s="218" t="s">
        <v>18</v>
      </c>
      <c r="C819" s="306"/>
      <c r="D819" s="174"/>
      <c r="E819" s="174"/>
      <c r="F819" s="174">
        <f t="shared" si="25"/>
        <v>0</v>
      </c>
    </row>
    <row r="820" spans="1:6">
      <c r="A820" s="217">
        <v>222102</v>
      </c>
      <c r="B820" s="218" t="s">
        <v>19</v>
      </c>
      <c r="C820" s="306"/>
      <c r="D820" s="174"/>
      <c r="E820" s="174"/>
      <c r="F820" s="174">
        <f t="shared" si="25"/>
        <v>0</v>
      </c>
    </row>
    <row r="821" spans="1:6">
      <c r="A821" s="74">
        <v>2222</v>
      </c>
      <c r="B821" s="194" t="s">
        <v>20</v>
      </c>
      <c r="C821" s="306"/>
      <c r="D821" s="283">
        <f>SUM(D822:D823)</f>
        <v>0</v>
      </c>
      <c r="E821" s="283">
        <f>SUM(E822:E823)</f>
        <v>0</v>
      </c>
      <c r="F821" s="283">
        <f t="shared" si="25"/>
        <v>0</v>
      </c>
    </row>
    <row r="822" spans="1:6">
      <c r="A822" s="217">
        <v>222201</v>
      </c>
      <c r="B822" s="218" t="s">
        <v>309</v>
      </c>
      <c r="C822" s="306"/>
      <c r="D822" s="173"/>
      <c r="E822" s="173"/>
      <c r="F822" s="173">
        <f t="shared" si="25"/>
        <v>0</v>
      </c>
    </row>
    <row r="823" spans="1:6">
      <c r="A823" s="217">
        <v>222202</v>
      </c>
      <c r="B823" s="218" t="s">
        <v>328</v>
      </c>
      <c r="C823" s="306"/>
      <c r="D823" s="173"/>
      <c r="E823" s="173"/>
      <c r="F823" s="173">
        <f t="shared" si="25"/>
        <v>0</v>
      </c>
    </row>
    <row r="824" spans="1:6">
      <c r="A824" s="246">
        <v>2223</v>
      </c>
      <c r="B824" s="247" t="s">
        <v>23</v>
      </c>
      <c r="C824" s="306"/>
      <c r="D824" s="283">
        <f>SUM(D825:D826)</f>
        <v>0</v>
      </c>
      <c r="E824" s="283">
        <f>SUM(E825:E826)</f>
        <v>0</v>
      </c>
      <c r="F824" s="283">
        <f t="shared" si="25"/>
        <v>0</v>
      </c>
    </row>
    <row r="825" spans="1:6">
      <c r="A825" s="217">
        <v>222301</v>
      </c>
      <c r="B825" s="218" t="s">
        <v>310</v>
      </c>
      <c r="C825" s="306"/>
      <c r="D825" s="173"/>
      <c r="E825" s="173"/>
      <c r="F825" s="173">
        <f t="shared" si="25"/>
        <v>0</v>
      </c>
    </row>
    <row r="826" spans="1:6">
      <c r="A826" s="217">
        <v>222302</v>
      </c>
      <c r="B826" s="218" t="s">
        <v>24</v>
      </c>
      <c r="C826" s="306"/>
      <c r="D826" s="173"/>
      <c r="E826" s="173"/>
      <c r="F826" s="173">
        <f t="shared" si="25"/>
        <v>0</v>
      </c>
    </row>
    <row r="827" spans="1:6">
      <c r="A827" s="246">
        <v>2224</v>
      </c>
      <c r="B827" s="194" t="s">
        <v>330</v>
      </c>
      <c r="C827" s="306"/>
      <c r="D827" s="283">
        <f>SUM(D828:D831)</f>
        <v>0</v>
      </c>
      <c r="E827" s="283">
        <f>SUM(E828:E831)</f>
        <v>0</v>
      </c>
      <c r="F827" s="283">
        <f t="shared" si="25"/>
        <v>0</v>
      </c>
    </row>
    <row r="828" spans="1:6">
      <c r="A828" s="217">
        <v>222401</v>
      </c>
      <c r="B828" s="218" t="s">
        <v>343</v>
      </c>
      <c r="C828" s="306"/>
      <c r="D828" s="173"/>
      <c r="E828" s="173"/>
      <c r="F828" s="173">
        <f t="shared" si="25"/>
        <v>0</v>
      </c>
    </row>
    <row r="829" spans="1:6">
      <c r="A829" s="217">
        <v>222403</v>
      </c>
      <c r="B829" s="218" t="s">
        <v>312</v>
      </c>
      <c r="C829" s="306"/>
      <c r="D829" s="173"/>
      <c r="E829" s="173"/>
      <c r="F829" s="173">
        <f t="shared" si="25"/>
        <v>0</v>
      </c>
    </row>
    <row r="830" spans="1:6">
      <c r="A830" s="217">
        <v>222404</v>
      </c>
      <c r="B830" s="218" t="s">
        <v>313</v>
      </c>
      <c r="C830" s="306"/>
      <c r="D830" s="173"/>
      <c r="E830" s="173"/>
      <c r="F830" s="173">
        <f t="shared" si="25"/>
        <v>0</v>
      </c>
    </row>
    <row r="831" spans="1:6">
      <c r="A831" s="217">
        <v>222405</v>
      </c>
      <c r="B831" s="218" t="s">
        <v>314</v>
      </c>
      <c r="C831" s="306"/>
      <c r="D831" s="173"/>
      <c r="E831" s="173"/>
      <c r="F831" s="173">
        <f t="shared" si="25"/>
        <v>0</v>
      </c>
    </row>
    <row r="832" spans="1:6">
      <c r="A832" s="74">
        <v>2225</v>
      </c>
      <c r="B832" s="194" t="s">
        <v>331</v>
      </c>
      <c r="C832" s="306"/>
      <c r="D832" s="283">
        <f>SUM(D833:D836)</f>
        <v>0</v>
      </c>
      <c r="E832" s="283">
        <f>SUM(E833:E836)</f>
        <v>0</v>
      </c>
      <c r="F832" s="283">
        <f t="shared" si="25"/>
        <v>0</v>
      </c>
    </row>
    <row r="833" spans="1:6">
      <c r="A833" s="217">
        <v>222501</v>
      </c>
      <c r="B833" s="218" t="s">
        <v>315</v>
      </c>
      <c r="C833" s="306"/>
      <c r="D833" s="173"/>
      <c r="E833" s="173"/>
      <c r="F833" s="173">
        <f t="shared" si="25"/>
        <v>0</v>
      </c>
    </row>
    <row r="834" spans="1:6">
      <c r="A834" s="217">
        <v>222502</v>
      </c>
      <c r="B834" s="218" t="s">
        <v>316</v>
      </c>
      <c r="C834" s="306"/>
      <c r="D834" s="173"/>
      <c r="E834" s="173"/>
      <c r="F834" s="173">
        <f t="shared" si="25"/>
        <v>0</v>
      </c>
    </row>
    <row r="835" spans="1:6">
      <c r="A835" s="217">
        <v>222503</v>
      </c>
      <c r="B835" s="218" t="s">
        <v>317</v>
      </c>
      <c r="C835" s="306"/>
      <c r="D835" s="173"/>
      <c r="E835" s="173"/>
      <c r="F835" s="173">
        <f t="shared" si="25"/>
        <v>0</v>
      </c>
    </row>
    <row r="836" spans="1:6">
      <c r="A836" s="217">
        <v>222504</v>
      </c>
      <c r="B836" s="218" t="s">
        <v>318</v>
      </c>
      <c r="C836" s="306"/>
      <c r="D836" s="173"/>
      <c r="E836" s="173"/>
      <c r="F836" s="173">
        <f t="shared" si="25"/>
        <v>0</v>
      </c>
    </row>
    <row r="837" spans="1:6">
      <c r="A837" s="246">
        <v>2231</v>
      </c>
      <c r="B837" s="247" t="s">
        <v>21</v>
      </c>
      <c r="C837" s="306"/>
      <c r="D837" s="283">
        <f>SUM(D838:D840)</f>
        <v>0</v>
      </c>
      <c r="E837" s="283">
        <f>SUM(E838:E840)</f>
        <v>0</v>
      </c>
      <c r="F837" s="283">
        <f t="shared" si="25"/>
        <v>0</v>
      </c>
    </row>
    <row r="838" spans="1:6">
      <c r="A838" s="217">
        <v>223101</v>
      </c>
      <c r="B838" s="218" t="s">
        <v>319</v>
      </c>
      <c r="C838" s="306"/>
      <c r="D838" s="174"/>
      <c r="E838" s="174"/>
      <c r="F838" s="174">
        <f t="shared" si="25"/>
        <v>0</v>
      </c>
    </row>
    <row r="839" spans="1:6">
      <c r="A839" s="217">
        <v>223102</v>
      </c>
      <c r="B839" s="218" t="s">
        <v>22</v>
      </c>
      <c r="C839" s="306"/>
      <c r="D839" s="174"/>
      <c r="E839" s="174"/>
      <c r="F839" s="174">
        <f t="shared" si="25"/>
        <v>0</v>
      </c>
    </row>
    <row r="840" spans="1:6">
      <c r="A840" s="217">
        <v>223103</v>
      </c>
      <c r="B840" s="218" t="s">
        <v>340</v>
      </c>
      <c r="C840" s="306"/>
      <c r="D840" s="174"/>
      <c r="E840" s="174"/>
      <c r="F840" s="174">
        <f t="shared" si="25"/>
        <v>0</v>
      </c>
    </row>
    <row r="841" spans="1:6">
      <c r="A841" s="246">
        <v>2244</v>
      </c>
      <c r="B841" s="247" t="s">
        <v>321</v>
      </c>
      <c r="C841" s="306"/>
      <c r="D841" s="283">
        <f>SUM(D842:D843)</f>
        <v>0</v>
      </c>
      <c r="E841" s="283">
        <f>SUM(E842:E843)</f>
        <v>0</v>
      </c>
      <c r="F841" s="283">
        <f t="shared" si="25"/>
        <v>0</v>
      </c>
    </row>
    <row r="842" spans="1:6">
      <c r="A842" s="217">
        <v>224401</v>
      </c>
      <c r="B842" s="218" t="s">
        <v>344</v>
      </c>
      <c r="C842" s="306"/>
      <c r="D842" s="174"/>
      <c r="E842" s="174"/>
      <c r="F842" s="174">
        <f t="shared" si="25"/>
        <v>0</v>
      </c>
    </row>
    <row r="843" spans="1:6">
      <c r="A843" s="217">
        <v>224402</v>
      </c>
      <c r="B843" s="218" t="s">
        <v>323</v>
      </c>
      <c r="C843" s="306"/>
      <c r="D843" s="174"/>
      <c r="E843" s="174"/>
      <c r="F843" s="174">
        <f t="shared" si="25"/>
        <v>0</v>
      </c>
    </row>
    <row r="844" spans="1:6">
      <c r="A844" s="246">
        <v>2281</v>
      </c>
      <c r="B844" s="247" t="s">
        <v>13</v>
      </c>
      <c r="C844" s="306"/>
      <c r="D844" s="283">
        <f>D845</f>
        <v>0</v>
      </c>
      <c r="E844" s="283">
        <f>E845</f>
        <v>0</v>
      </c>
      <c r="F844" s="283">
        <f t="shared" si="25"/>
        <v>0</v>
      </c>
    </row>
    <row r="845" spans="1:6">
      <c r="A845" s="217">
        <v>228101</v>
      </c>
      <c r="B845" s="218" t="s">
        <v>325</v>
      </c>
      <c r="C845" s="306"/>
      <c r="D845" s="174"/>
      <c r="E845" s="173"/>
      <c r="F845" s="173">
        <f t="shared" si="25"/>
        <v>0</v>
      </c>
    </row>
    <row r="846" spans="1:6" ht="55.75">
      <c r="A846" s="225">
        <v>30301</v>
      </c>
      <c r="B846" s="255" t="s">
        <v>62</v>
      </c>
      <c r="C846" s="306"/>
      <c r="D846" s="169" t="s">
        <v>261</v>
      </c>
      <c r="E846" s="169" t="s">
        <v>358</v>
      </c>
      <c r="F846" s="169" t="s">
        <v>363</v>
      </c>
    </row>
    <row r="847" spans="1:6">
      <c r="A847" s="280" t="s">
        <v>5</v>
      </c>
      <c r="B847" s="281" t="s">
        <v>65</v>
      </c>
      <c r="C847" s="306"/>
      <c r="D847" s="282">
        <f>D848+D859</f>
        <v>0</v>
      </c>
      <c r="E847" s="282">
        <f>E848+E859</f>
        <v>0</v>
      </c>
      <c r="F847" s="282">
        <f>E847/12</f>
        <v>0</v>
      </c>
    </row>
    <row r="848" spans="1:6">
      <c r="A848" s="317">
        <v>21</v>
      </c>
      <c r="B848" s="318" t="s">
        <v>6</v>
      </c>
      <c r="C848" s="306"/>
      <c r="D848" s="319">
        <f>D849</f>
        <v>0</v>
      </c>
      <c r="E848" s="319">
        <f>E849</f>
        <v>0</v>
      </c>
      <c r="F848" s="319">
        <f t="shared" ref="F848:F892" si="26">E848/12</f>
        <v>0</v>
      </c>
    </row>
    <row r="849" spans="1:6">
      <c r="A849" s="320">
        <v>211</v>
      </c>
      <c r="B849" s="321" t="s">
        <v>7</v>
      </c>
      <c r="C849" s="306"/>
      <c r="D849" s="322">
        <f>D850+D853+D857</f>
        <v>0</v>
      </c>
      <c r="E849" s="322">
        <f>E850+E853+E857</f>
        <v>0</v>
      </c>
      <c r="F849" s="322">
        <f t="shared" si="26"/>
        <v>0</v>
      </c>
    </row>
    <row r="850" spans="1:6">
      <c r="A850" s="323">
        <v>2111</v>
      </c>
      <c r="B850" s="323" t="s">
        <v>8</v>
      </c>
      <c r="C850" s="306"/>
      <c r="D850" s="283">
        <f>SUM(D851:D852)</f>
        <v>0</v>
      </c>
      <c r="E850" s="283">
        <f>SUM(E851:E852)</f>
        <v>0</v>
      </c>
      <c r="F850" s="283">
        <f t="shared" si="26"/>
        <v>0</v>
      </c>
    </row>
    <row r="851" spans="1:6">
      <c r="A851" s="324">
        <v>211101</v>
      </c>
      <c r="B851" s="325" t="s">
        <v>9</v>
      </c>
      <c r="C851" s="306"/>
      <c r="D851" s="326"/>
      <c r="E851" s="326"/>
      <c r="F851" s="175">
        <f t="shared" si="26"/>
        <v>0</v>
      </c>
    </row>
    <row r="852" spans="1:6">
      <c r="A852" s="324">
        <v>211106</v>
      </c>
      <c r="B852" s="325" t="s">
        <v>33</v>
      </c>
      <c r="C852" s="306"/>
      <c r="D852" s="326"/>
      <c r="E852" s="175"/>
      <c r="F852" s="175">
        <f t="shared" si="26"/>
        <v>0</v>
      </c>
    </row>
    <row r="853" spans="1:6">
      <c r="A853" s="323">
        <v>2113</v>
      </c>
      <c r="B853" s="323" t="s">
        <v>10</v>
      </c>
      <c r="C853" s="306"/>
      <c r="D853" s="283">
        <f>SUM(D854:D856)</f>
        <v>0</v>
      </c>
      <c r="E853" s="283">
        <f>SUM(E854:E856)</f>
        <v>0</v>
      </c>
      <c r="F853" s="283">
        <f t="shared" si="26"/>
        <v>0</v>
      </c>
    </row>
    <row r="854" spans="1:6">
      <c r="A854" s="324">
        <v>211301</v>
      </c>
      <c r="B854" s="325" t="s">
        <v>11</v>
      </c>
      <c r="C854" s="306"/>
      <c r="D854" s="326"/>
      <c r="E854" s="326"/>
      <c r="F854" s="173">
        <f t="shared" si="26"/>
        <v>0</v>
      </c>
    </row>
    <row r="855" spans="1:6">
      <c r="A855" s="324">
        <v>211306</v>
      </c>
      <c r="B855" s="325" t="s">
        <v>34</v>
      </c>
      <c r="C855" s="306"/>
      <c r="D855" s="326"/>
      <c r="E855" s="173"/>
      <c r="F855" s="173">
        <f t="shared" si="26"/>
        <v>0</v>
      </c>
    </row>
    <row r="856" spans="1:6">
      <c r="A856" s="324">
        <v>211308</v>
      </c>
      <c r="B856" s="325" t="s">
        <v>12</v>
      </c>
      <c r="C856" s="306"/>
      <c r="D856" s="326"/>
      <c r="E856" s="173"/>
      <c r="F856" s="173">
        <f t="shared" si="26"/>
        <v>0</v>
      </c>
    </row>
    <row r="857" spans="1:6">
      <c r="A857" s="323">
        <v>2115</v>
      </c>
      <c r="B857" s="323" t="s">
        <v>13</v>
      </c>
      <c r="C857" s="306"/>
      <c r="D857" s="283">
        <f>D858</f>
        <v>0</v>
      </c>
      <c r="E857" s="283">
        <f>E858</f>
        <v>0</v>
      </c>
      <c r="F857" s="283">
        <f t="shared" si="26"/>
        <v>0</v>
      </c>
    </row>
    <row r="858" spans="1:6">
      <c r="A858" s="324">
        <v>211501</v>
      </c>
      <c r="B858" s="325" t="s">
        <v>14</v>
      </c>
      <c r="C858" s="306"/>
      <c r="D858" s="326"/>
      <c r="E858" s="326"/>
      <c r="F858" s="326">
        <f t="shared" si="26"/>
        <v>0</v>
      </c>
    </row>
    <row r="859" spans="1:6">
      <c r="A859" s="317">
        <v>22</v>
      </c>
      <c r="B859" s="318" t="s">
        <v>15</v>
      </c>
      <c r="C859" s="306"/>
      <c r="D859" s="319">
        <f>D860</f>
        <v>0</v>
      </c>
      <c r="E859" s="319">
        <f>E860</f>
        <v>0</v>
      </c>
      <c r="F859" s="319">
        <f t="shared" si="26"/>
        <v>0</v>
      </c>
    </row>
    <row r="860" spans="1:6">
      <c r="A860" s="320">
        <v>221</v>
      </c>
      <c r="B860" s="321" t="s">
        <v>16</v>
      </c>
      <c r="C860" s="306"/>
      <c r="D860" s="322">
        <f>D861+D865+D868+D871+D874+D879+D884+D888+D891</f>
        <v>0</v>
      </c>
      <c r="E860" s="322">
        <f>E861+E865+E868+E871+E874+E879+E884+E888+E891</f>
        <v>0</v>
      </c>
      <c r="F860" s="322">
        <f t="shared" si="26"/>
        <v>0</v>
      </c>
    </row>
    <row r="861" spans="1:6">
      <c r="A861" s="74">
        <v>2211</v>
      </c>
      <c r="B861" s="194" t="s">
        <v>304</v>
      </c>
      <c r="C861" s="306"/>
      <c r="D861" s="283">
        <f>SUM(D862:D864)</f>
        <v>0</v>
      </c>
      <c r="E861" s="52">
        <f>SUM(E862:E864)</f>
        <v>0</v>
      </c>
      <c r="F861" s="52">
        <f t="shared" si="26"/>
        <v>0</v>
      </c>
    </row>
    <row r="862" spans="1:6">
      <c r="A862" s="268">
        <v>221101</v>
      </c>
      <c r="B862" s="269" t="s">
        <v>305</v>
      </c>
      <c r="C862" s="306"/>
      <c r="D862" s="326"/>
      <c r="E862" s="173"/>
      <c r="F862" s="326">
        <f t="shared" si="26"/>
        <v>0</v>
      </c>
    </row>
    <row r="863" spans="1:6">
      <c r="A863" s="268">
        <v>221102</v>
      </c>
      <c r="B863" s="269" t="s">
        <v>30</v>
      </c>
      <c r="C863" s="306"/>
      <c r="D863" s="326"/>
      <c r="E863" s="173"/>
      <c r="F863" s="326">
        <f t="shared" si="26"/>
        <v>0</v>
      </c>
    </row>
    <row r="864" spans="1:6">
      <c r="A864" s="217">
        <v>221103</v>
      </c>
      <c r="B864" s="218" t="s">
        <v>306</v>
      </c>
      <c r="C864" s="306"/>
      <c r="D864" s="326"/>
      <c r="E864" s="326"/>
      <c r="F864" s="326">
        <f t="shared" si="26"/>
        <v>0</v>
      </c>
    </row>
    <row r="865" spans="1:6">
      <c r="A865" s="246">
        <v>2221</v>
      </c>
      <c r="B865" s="247" t="s">
        <v>17</v>
      </c>
      <c r="C865" s="306"/>
      <c r="D865" s="283">
        <f>SUM(D866:D867)</f>
        <v>0</v>
      </c>
      <c r="E865" s="283">
        <f>SUM(E866:E867)</f>
        <v>0</v>
      </c>
      <c r="F865" s="283">
        <f t="shared" si="26"/>
        <v>0</v>
      </c>
    </row>
    <row r="866" spans="1:6">
      <c r="A866" s="217">
        <v>222101</v>
      </c>
      <c r="B866" s="218" t="s">
        <v>18</v>
      </c>
      <c r="C866" s="306"/>
      <c r="D866" s="326"/>
      <c r="E866" s="173"/>
      <c r="F866" s="173">
        <f t="shared" si="26"/>
        <v>0</v>
      </c>
    </row>
    <row r="867" spans="1:6">
      <c r="A867" s="217">
        <v>222102</v>
      </c>
      <c r="B867" s="218" t="s">
        <v>19</v>
      </c>
      <c r="C867" s="306"/>
      <c r="D867" s="326"/>
      <c r="E867" s="326"/>
      <c r="F867" s="173">
        <f t="shared" si="26"/>
        <v>0</v>
      </c>
    </row>
    <row r="868" spans="1:6">
      <c r="A868" s="74">
        <v>2222</v>
      </c>
      <c r="B868" s="194" t="s">
        <v>20</v>
      </c>
      <c r="C868" s="306"/>
      <c r="D868" s="283">
        <f>SUM(D869:D870)</f>
        <v>0</v>
      </c>
      <c r="E868" s="283">
        <f>SUM(E869:E870)</f>
        <v>0</v>
      </c>
      <c r="F868" s="283">
        <f t="shared" si="26"/>
        <v>0</v>
      </c>
    </row>
    <row r="869" spans="1:6">
      <c r="A869" s="217">
        <v>222201</v>
      </c>
      <c r="B869" s="218" t="s">
        <v>309</v>
      </c>
      <c r="C869" s="306"/>
      <c r="D869" s="326"/>
      <c r="E869" s="173"/>
      <c r="F869" s="173">
        <f t="shared" si="26"/>
        <v>0</v>
      </c>
    </row>
    <row r="870" spans="1:6">
      <c r="A870" s="217">
        <v>222202</v>
      </c>
      <c r="B870" s="218" t="s">
        <v>328</v>
      </c>
      <c r="C870" s="306"/>
      <c r="D870" s="326"/>
      <c r="E870" s="173"/>
      <c r="F870" s="173">
        <f t="shared" si="26"/>
        <v>0</v>
      </c>
    </row>
    <row r="871" spans="1:6">
      <c r="A871" s="246">
        <v>2223</v>
      </c>
      <c r="B871" s="247" t="s">
        <v>23</v>
      </c>
      <c r="C871" s="306"/>
      <c r="D871" s="283">
        <f>SUM(D872:D873)</f>
        <v>0</v>
      </c>
      <c r="E871" s="283">
        <f>SUM(E872:E873)</f>
        <v>0</v>
      </c>
      <c r="F871" s="283">
        <f t="shared" si="26"/>
        <v>0</v>
      </c>
    </row>
    <row r="872" spans="1:6">
      <c r="A872" s="217">
        <v>222301</v>
      </c>
      <c r="B872" s="218" t="s">
        <v>310</v>
      </c>
      <c r="C872" s="306"/>
      <c r="D872" s="326"/>
      <c r="E872" s="173"/>
      <c r="F872" s="173">
        <f t="shared" si="26"/>
        <v>0</v>
      </c>
    </row>
    <row r="873" spans="1:6">
      <c r="A873" s="217">
        <v>222302</v>
      </c>
      <c r="B873" s="218" t="s">
        <v>24</v>
      </c>
      <c r="C873" s="306"/>
      <c r="D873" s="326"/>
      <c r="E873" s="326"/>
      <c r="F873" s="173">
        <f t="shared" si="26"/>
        <v>0</v>
      </c>
    </row>
    <row r="874" spans="1:6">
      <c r="A874" s="246">
        <v>2224</v>
      </c>
      <c r="B874" s="194" t="s">
        <v>330</v>
      </c>
      <c r="C874" s="306"/>
      <c r="D874" s="283">
        <f>SUM(D875:D878)</f>
        <v>0</v>
      </c>
      <c r="E874" s="283">
        <f>SUM(E875:E878)</f>
        <v>0</v>
      </c>
      <c r="F874" s="283">
        <f t="shared" si="26"/>
        <v>0</v>
      </c>
    </row>
    <row r="875" spans="1:6">
      <c r="A875" s="217">
        <v>222401</v>
      </c>
      <c r="B875" s="218" t="s">
        <v>343</v>
      </c>
      <c r="C875" s="306"/>
      <c r="D875" s="326"/>
      <c r="E875" s="174"/>
      <c r="F875" s="174">
        <f t="shared" si="26"/>
        <v>0</v>
      </c>
    </row>
    <row r="876" spans="1:6">
      <c r="A876" s="217">
        <v>222403</v>
      </c>
      <c r="B876" s="218" t="s">
        <v>312</v>
      </c>
      <c r="C876" s="306"/>
      <c r="D876" s="326"/>
      <c r="E876" s="174"/>
      <c r="F876" s="174">
        <f t="shared" si="26"/>
        <v>0</v>
      </c>
    </row>
    <row r="877" spans="1:6">
      <c r="A877" s="217">
        <v>222404</v>
      </c>
      <c r="B877" s="218" t="s">
        <v>313</v>
      </c>
      <c r="C877" s="306"/>
      <c r="D877" s="326"/>
      <c r="E877" s="174"/>
      <c r="F877" s="174">
        <f t="shared" si="26"/>
        <v>0</v>
      </c>
    </row>
    <row r="878" spans="1:6">
      <c r="A878" s="217">
        <v>222405</v>
      </c>
      <c r="B878" s="218" t="s">
        <v>314</v>
      </c>
      <c r="C878" s="306"/>
      <c r="D878" s="326"/>
      <c r="E878" s="174"/>
      <c r="F878" s="174">
        <f t="shared" si="26"/>
        <v>0</v>
      </c>
    </row>
    <row r="879" spans="1:6">
      <c r="A879" s="74">
        <v>2225</v>
      </c>
      <c r="B879" s="194" t="s">
        <v>331</v>
      </c>
      <c r="C879" s="306"/>
      <c r="D879" s="283">
        <f>SUM(D880:D883)</f>
        <v>0</v>
      </c>
      <c r="E879" s="283">
        <f>SUM(E880:E883)</f>
        <v>0</v>
      </c>
      <c r="F879" s="283">
        <f t="shared" si="26"/>
        <v>0</v>
      </c>
    </row>
    <row r="880" spans="1:6">
      <c r="A880" s="217">
        <v>222501</v>
      </c>
      <c r="B880" s="218" t="s">
        <v>315</v>
      </c>
      <c r="C880" s="306"/>
      <c r="D880" s="326"/>
      <c r="E880" s="326"/>
      <c r="F880" s="326">
        <f t="shared" si="26"/>
        <v>0</v>
      </c>
    </row>
    <row r="881" spans="1:6">
      <c r="A881" s="217">
        <v>222502</v>
      </c>
      <c r="B881" s="218" t="s">
        <v>316</v>
      </c>
      <c r="C881" s="306"/>
      <c r="D881" s="326"/>
      <c r="E881" s="326"/>
      <c r="F881" s="326">
        <f t="shared" si="26"/>
        <v>0</v>
      </c>
    </row>
    <row r="882" spans="1:6">
      <c r="A882" s="217">
        <v>222503</v>
      </c>
      <c r="B882" s="218" t="s">
        <v>317</v>
      </c>
      <c r="C882" s="306"/>
      <c r="D882" s="326"/>
      <c r="E882" s="326"/>
      <c r="F882" s="326">
        <f t="shared" si="26"/>
        <v>0</v>
      </c>
    </row>
    <row r="883" spans="1:6">
      <c r="A883" s="217">
        <v>222504</v>
      </c>
      <c r="B883" s="218" t="s">
        <v>318</v>
      </c>
      <c r="C883" s="306"/>
      <c r="D883" s="326"/>
      <c r="E883" s="326"/>
      <c r="F883" s="326">
        <f t="shared" si="26"/>
        <v>0</v>
      </c>
    </row>
    <row r="884" spans="1:6">
      <c r="A884" s="246">
        <v>2231</v>
      </c>
      <c r="B884" s="247" t="s">
        <v>21</v>
      </c>
      <c r="C884" s="306"/>
      <c r="D884" s="283">
        <f>SUM(D885:D887)</f>
        <v>0</v>
      </c>
      <c r="E884" s="283">
        <f>SUM(E885:E887)</f>
        <v>0</v>
      </c>
      <c r="F884" s="283">
        <f t="shared" si="26"/>
        <v>0</v>
      </c>
    </row>
    <row r="885" spans="1:6">
      <c r="A885" s="217">
        <v>223101</v>
      </c>
      <c r="B885" s="218" t="s">
        <v>319</v>
      </c>
      <c r="C885" s="306"/>
      <c r="D885" s="326"/>
      <c r="E885" s="173"/>
      <c r="F885" s="326">
        <f t="shared" si="26"/>
        <v>0</v>
      </c>
    </row>
    <row r="886" spans="1:6">
      <c r="A886" s="217">
        <v>223102</v>
      </c>
      <c r="B886" s="218" t="s">
        <v>22</v>
      </c>
      <c r="C886" s="306"/>
      <c r="D886" s="326"/>
      <c r="E886" s="326"/>
      <c r="F886" s="326">
        <f t="shared" si="26"/>
        <v>0</v>
      </c>
    </row>
    <row r="887" spans="1:6">
      <c r="A887" s="217">
        <v>223103</v>
      </c>
      <c r="B887" s="218" t="s">
        <v>340</v>
      </c>
      <c r="C887" s="306"/>
      <c r="D887" s="326"/>
      <c r="E887" s="326"/>
      <c r="F887" s="326">
        <f t="shared" si="26"/>
        <v>0</v>
      </c>
    </row>
    <row r="888" spans="1:6">
      <c r="A888" s="246">
        <v>2244</v>
      </c>
      <c r="B888" s="247" t="s">
        <v>321</v>
      </c>
      <c r="C888" s="306"/>
      <c r="D888" s="283">
        <f>SUM(D889:D890)</f>
        <v>0</v>
      </c>
      <c r="E888" s="283">
        <f>SUM(E889:E890)</f>
        <v>0</v>
      </c>
      <c r="F888" s="283">
        <f t="shared" si="26"/>
        <v>0</v>
      </c>
    </row>
    <row r="889" spans="1:6">
      <c r="A889" s="217">
        <v>224401</v>
      </c>
      <c r="B889" s="218" t="s">
        <v>344</v>
      </c>
      <c r="C889" s="306"/>
      <c r="D889" s="326"/>
      <c r="E889" s="173"/>
      <c r="F889" s="175">
        <f t="shared" si="26"/>
        <v>0</v>
      </c>
    </row>
    <row r="890" spans="1:6">
      <c r="A890" s="217">
        <v>224402</v>
      </c>
      <c r="B890" s="218" t="s">
        <v>323</v>
      </c>
      <c r="C890" s="306"/>
      <c r="D890" s="326"/>
      <c r="E890" s="175"/>
      <c r="F890" s="175">
        <f t="shared" si="26"/>
        <v>0</v>
      </c>
    </row>
    <row r="891" spans="1:6">
      <c r="A891" s="246">
        <v>2281</v>
      </c>
      <c r="B891" s="247" t="s">
        <v>13</v>
      </c>
      <c r="C891" s="306"/>
      <c r="D891" s="283">
        <f>D892</f>
        <v>0</v>
      </c>
      <c r="E891" s="283">
        <f>E892</f>
        <v>0</v>
      </c>
      <c r="F891" s="283">
        <f t="shared" si="26"/>
        <v>0</v>
      </c>
    </row>
    <row r="892" spans="1:6">
      <c r="A892" s="217">
        <v>228101</v>
      </c>
      <c r="B892" s="218" t="s">
        <v>325</v>
      </c>
      <c r="C892" s="306"/>
      <c r="D892" s="326"/>
      <c r="E892" s="326"/>
      <c r="F892" s="326">
        <f t="shared" si="26"/>
        <v>0</v>
      </c>
    </row>
    <row r="893" spans="1:6" ht="55.75">
      <c r="A893" s="327">
        <v>30401</v>
      </c>
      <c r="B893" s="328" t="s">
        <v>55</v>
      </c>
      <c r="C893" s="306"/>
      <c r="D893" s="169" t="s">
        <v>261</v>
      </c>
      <c r="E893" s="169" t="s">
        <v>358</v>
      </c>
      <c r="F893" s="169" t="s">
        <v>363</v>
      </c>
    </row>
    <row r="894" spans="1:6">
      <c r="A894" s="280" t="s">
        <v>5</v>
      </c>
      <c r="B894" s="281" t="s">
        <v>65</v>
      </c>
      <c r="C894" s="306"/>
      <c r="D894" s="282">
        <f>D895+D905</f>
        <v>0</v>
      </c>
      <c r="E894" s="282">
        <f>E895+E905</f>
        <v>0</v>
      </c>
      <c r="F894" s="282">
        <f>E894/12</f>
        <v>0</v>
      </c>
    </row>
    <row r="895" spans="1:6">
      <c r="A895" s="329">
        <v>21</v>
      </c>
      <c r="B895" s="330" t="s">
        <v>6</v>
      </c>
      <c r="C895" s="306"/>
      <c r="D895" s="331">
        <f>D896</f>
        <v>0</v>
      </c>
      <c r="E895" s="331">
        <f>E896</f>
        <v>0</v>
      </c>
      <c r="F895" s="331">
        <f t="shared" ref="F895:F938" si="27">E895/12</f>
        <v>0</v>
      </c>
    </row>
    <row r="896" spans="1:6">
      <c r="A896" s="332">
        <v>211</v>
      </c>
      <c r="B896" s="333" t="s">
        <v>7</v>
      </c>
      <c r="C896" s="306"/>
      <c r="D896" s="334">
        <f>D897+D900+D903</f>
        <v>0</v>
      </c>
      <c r="E896" s="334">
        <f>E897+E900+E903</f>
        <v>0</v>
      </c>
      <c r="F896" s="334">
        <f t="shared" si="27"/>
        <v>0</v>
      </c>
    </row>
    <row r="897" spans="1:6">
      <c r="A897" s="335">
        <v>2111</v>
      </c>
      <c r="B897" s="336" t="s">
        <v>8</v>
      </c>
      <c r="C897" s="306"/>
      <c r="D897" s="283">
        <f>SUM(D898:D899)</f>
        <v>0</v>
      </c>
      <c r="E897" s="283">
        <f>SUM(E898:E899)</f>
        <v>0</v>
      </c>
      <c r="F897" s="283">
        <f t="shared" si="27"/>
        <v>0</v>
      </c>
    </row>
    <row r="898" spans="1:6">
      <c r="A898" s="337">
        <v>211101</v>
      </c>
      <c r="B898" s="338" t="s">
        <v>9</v>
      </c>
      <c r="C898" s="306"/>
      <c r="D898" s="339"/>
      <c r="E898" s="173"/>
      <c r="F898" s="339">
        <f t="shared" si="27"/>
        <v>0</v>
      </c>
    </row>
    <row r="899" spans="1:6">
      <c r="A899" s="337">
        <v>211106</v>
      </c>
      <c r="B899" s="338" t="s">
        <v>56</v>
      </c>
      <c r="C899" s="306"/>
      <c r="D899" s="339"/>
      <c r="E899" s="339"/>
      <c r="F899" s="339">
        <f t="shared" si="27"/>
        <v>0</v>
      </c>
    </row>
    <row r="900" spans="1:6">
      <c r="A900" s="335">
        <v>2113</v>
      </c>
      <c r="B900" s="340" t="s">
        <v>10</v>
      </c>
      <c r="C900" s="306"/>
      <c r="D900" s="283">
        <f>SUM(D901:D902)</f>
        <v>0</v>
      </c>
      <c r="E900" s="283">
        <f>SUM(E901:E902)</f>
        <v>0</v>
      </c>
      <c r="F900" s="283">
        <f t="shared" si="27"/>
        <v>0</v>
      </c>
    </row>
    <row r="901" spans="1:6">
      <c r="A901" s="337">
        <v>211301</v>
      </c>
      <c r="B901" s="338" t="s">
        <v>11</v>
      </c>
      <c r="C901" s="306"/>
      <c r="D901" s="341"/>
      <c r="E901" s="174"/>
      <c r="F901" s="174">
        <f t="shared" si="27"/>
        <v>0</v>
      </c>
    </row>
    <row r="902" spans="1:6">
      <c r="A902" s="337">
        <v>211306</v>
      </c>
      <c r="B902" s="338" t="s">
        <v>34</v>
      </c>
      <c r="C902" s="306"/>
      <c r="D902" s="339"/>
      <c r="E902" s="339"/>
      <c r="F902" s="174">
        <f t="shared" si="27"/>
        <v>0</v>
      </c>
    </row>
    <row r="903" spans="1:6">
      <c r="A903" s="335">
        <v>2115</v>
      </c>
      <c r="B903" s="340" t="s">
        <v>13</v>
      </c>
      <c r="C903" s="306"/>
      <c r="D903" s="283">
        <f>D904</f>
        <v>0</v>
      </c>
      <c r="E903" s="283">
        <f>E904</f>
        <v>0</v>
      </c>
      <c r="F903" s="283">
        <f t="shared" si="27"/>
        <v>0</v>
      </c>
    </row>
    <row r="904" spans="1:6">
      <c r="A904" s="337">
        <v>211501</v>
      </c>
      <c r="B904" s="338" t="s">
        <v>14</v>
      </c>
      <c r="C904" s="306"/>
      <c r="D904" s="341"/>
      <c r="E904" s="341"/>
      <c r="F904" s="341">
        <f t="shared" si="27"/>
        <v>0</v>
      </c>
    </row>
    <row r="905" spans="1:6">
      <c r="A905" s="329">
        <v>22</v>
      </c>
      <c r="B905" s="330" t="s">
        <v>15</v>
      </c>
      <c r="C905" s="306"/>
      <c r="D905" s="331">
        <f>D906</f>
        <v>0</v>
      </c>
      <c r="E905" s="331">
        <f>E906</f>
        <v>0</v>
      </c>
      <c r="F905" s="331">
        <f t="shared" si="27"/>
        <v>0</v>
      </c>
    </row>
    <row r="906" spans="1:6">
      <c r="A906" s="332">
        <v>221</v>
      </c>
      <c r="B906" s="333" t="s">
        <v>16</v>
      </c>
      <c r="C906" s="306"/>
      <c r="D906" s="334">
        <f>D907+D911+D914+D917+D920+D925+D930+D934+D937</f>
        <v>0</v>
      </c>
      <c r="E906" s="334">
        <f>E907+E911+E914+E917+E920+E925+E930+E934+E937</f>
        <v>0</v>
      </c>
      <c r="F906" s="334">
        <f t="shared" si="27"/>
        <v>0</v>
      </c>
    </row>
    <row r="907" spans="1:6">
      <c r="A907" s="74">
        <v>2211</v>
      </c>
      <c r="B907" s="194" t="s">
        <v>304</v>
      </c>
      <c r="C907" s="306"/>
      <c r="D907" s="283">
        <f>SUM(D908:D910)</f>
        <v>0</v>
      </c>
      <c r="E907" s="52">
        <f>SUM(E908:E910)</f>
        <v>0</v>
      </c>
      <c r="F907" s="52">
        <f t="shared" si="27"/>
        <v>0</v>
      </c>
    </row>
    <row r="908" spans="1:6">
      <c r="A908" s="268">
        <v>221101</v>
      </c>
      <c r="B908" s="269" t="s">
        <v>305</v>
      </c>
      <c r="C908" s="306"/>
      <c r="D908" s="339"/>
      <c r="E908" s="173"/>
      <c r="F908" s="173">
        <f t="shared" si="27"/>
        <v>0</v>
      </c>
    </row>
    <row r="909" spans="1:6">
      <c r="A909" s="268">
        <v>221102</v>
      </c>
      <c r="B909" s="269" t="s">
        <v>30</v>
      </c>
      <c r="C909" s="306"/>
      <c r="D909" s="339"/>
      <c r="E909" s="173"/>
      <c r="F909" s="173">
        <f t="shared" si="27"/>
        <v>0</v>
      </c>
    </row>
    <row r="910" spans="1:6">
      <c r="A910" s="217">
        <v>221103</v>
      </c>
      <c r="B910" s="218" t="s">
        <v>306</v>
      </c>
      <c r="C910" s="306"/>
      <c r="D910" s="339"/>
      <c r="E910" s="173"/>
      <c r="F910" s="173">
        <f t="shared" si="27"/>
        <v>0</v>
      </c>
    </row>
    <row r="911" spans="1:6">
      <c r="A911" s="246">
        <v>2221</v>
      </c>
      <c r="B911" s="247" t="s">
        <v>17</v>
      </c>
      <c r="C911" s="306"/>
      <c r="D911" s="283">
        <f>SUM(D912:D913)</f>
        <v>0</v>
      </c>
      <c r="E911" s="283">
        <f>SUM(E912:E913)</f>
        <v>0</v>
      </c>
      <c r="F911" s="283">
        <f t="shared" si="27"/>
        <v>0</v>
      </c>
    </row>
    <row r="912" spans="1:6">
      <c r="A912" s="217">
        <v>222101</v>
      </c>
      <c r="B912" s="218" t="s">
        <v>18</v>
      </c>
      <c r="C912" s="306"/>
      <c r="D912" s="339"/>
      <c r="E912" s="173"/>
      <c r="F912" s="341">
        <f t="shared" si="27"/>
        <v>0</v>
      </c>
    </row>
    <row r="913" spans="1:6">
      <c r="A913" s="217">
        <v>222102</v>
      </c>
      <c r="B913" s="218" t="s">
        <v>19</v>
      </c>
      <c r="C913" s="306"/>
      <c r="D913" s="341"/>
      <c r="E913" s="341"/>
      <c r="F913" s="341">
        <f t="shared" si="27"/>
        <v>0</v>
      </c>
    </row>
    <row r="914" spans="1:6">
      <c r="A914" s="74">
        <v>2222</v>
      </c>
      <c r="B914" s="194" t="s">
        <v>20</v>
      </c>
      <c r="C914" s="306"/>
      <c r="D914" s="283">
        <f>SUM(D915:D916)</f>
        <v>0</v>
      </c>
      <c r="E914" s="283">
        <f>SUM(E915:E916)</f>
        <v>0</v>
      </c>
      <c r="F914" s="283">
        <f t="shared" si="27"/>
        <v>0</v>
      </c>
    </row>
    <row r="915" spans="1:6">
      <c r="A915" s="217">
        <v>222201</v>
      </c>
      <c r="B915" s="218" t="s">
        <v>309</v>
      </c>
      <c r="C915" s="306"/>
      <c r="D915" s="339"/>
      <c r="E915" s="174"/>
      <c r="F915" s="174">
        <f t="shared" si="27"/>
        <v>0</v>
      </c>
    </row>
    <row r="916" spans="1:6">
      <c r="A916" s="217">
        <v>222202</v>
      </c>
      <c r="B916" s="218" t="s">
        <v>328</v>
      </c>
      <c r="C916" s="306"/>
      <c r="D916" s="339"/>
      <c r="E916" s="174"/>
      <c r="F916" s="174">
        <f t="shared" si="27"/>
        <v>0</v>
      </c>
    </row>
    <row r="917" spans="1:6">
      <c r="A917" s="246">
        <v>2223</v>
      </c>
      <c r="B917" s="247" t="s">
        <v>23</v>
      </c>
      <c r="C917" s="306"/>
      <c r="D917" s="283">
        <f>SUM(D918:D919)</f>
        <v>0</v>
      </c>
      <c r="E917" s="283">
        <f>SUM(E918:E919)</f>
        <v>0</v>
      </c>
      <c r="F917" s="283">
        <f t="shared" si="27"/>
        <v>0</v>
      </c>
    </row>
    <row r="918" spans="1:6">
      <c r="A918" s="217">
        <v>222301</v>
      </c>
      <c r="B918" s="218" t="s">
        <v>310</v>
      </c>
      <c r="C918" s="306"/>
      <c r="D918" s="339"/>
      <c r="E918" s="339"/>
      <c r="F918" s="173">
        <f t="shared" si="27"/>
        <v>0</v>
      </c>
    </row>
    <row r="919" spans="1:6">
      <c r="A919" s="217">
        <v>222302</v>
      </c>
      <c r="B919" s="218" t="s">
        <v>24</v>
      </c>
      <c r="C919" s="306"/>
      <c r="D919" s="341"/>
      <c r="E919" s="173"/>
      <c r="F919" s="173">
        <f t="shared" si="27"/>
        <v>0</v>
      </c>
    </row>
    <row r="920" spans="1:6">
      <c r="A920" s="246">
        <v>2224</v>
      </c>
      <c r="B920" s="194" t="s">
        <v>330</v>
      </c>
      <c r="C920" s="306"/>
      <c r="D920" s="283">
        <f>SUM(D921:D924)</f>
        <v>0</v>
      </c>
      <c r="E920" s="283">
        <f>SUM(E921:E924)</f>
        <v>0</v>
      </c>
      <c r="F920" s="283">
        <f t="shared" si="27"/>
        <v>0</v>
      </c>
    </row>
    <row r="921" spans="1:6">
      <c r="A921" s="217">
        <v>222401</v>
      </c>
      <c r="B921" s="218" t="s">
        <v>343</v>
      </c>
      <c r="C921" s="306"/>
      <c r="D921" s="339"/>
      <c r="E921" s="173"/>
      <c r="F921" s="173">
        <f t="shared" si="27"/>
        <v>0</v>
      </c>
    </row>
    <row r="922" spans="1:6">
      <c r="A922" s="217">
        <v>222403</v>
      </c>
      <c r="B922" s="218" t="s">
        <v>312</v>
      </c>
      <c r="C922" s="306"/>
      <c r="D922" s="339"/>
      <c r="E922" s="173"/>
      <c r="F922" s="173">
        <f t="shared" si="27"/>
        <v>0</v>
      </c>
    </row>
    <row r="923" spans="1:6">
      <c r="A923" s="217">
        <v>222404</v>
      </c>
      <c r="B923" s="218" t="s">
        <v>313</v>
      </c>
      <c r="C923" s="306"/>
      <c r="D923" s="339"/>
      <c r="E923" s="173"/>
      <c r="F923" s="173">
        <f t="shared" si="27"/>
        <v>0</v>
      </c>
    </row>
    <row r="924" spans="1:6">
      <c r="A924" s="217">
        <v>222405</v>
      </c>
      <c r="B924" s="218" t="s">
        <v>314</v>
      </c>
      <c r="C924" s="306"/>
      <c r="D924" s="339"/>
      <c r="E924" s="173"/>
      <c r="F924" s="173">
        <f t="shared" si="27"/>
        <v>0</v>
      </c>
    </row>
    <row r="925" spans="1:6">
      <c r="A925" s="74">
        <v>2225</v>
      </c>
      <c r="B925" s="194" t="s">
        <v>331</v>
      </c>
      <c r="C925" s="306"/>
      <c r="D925" s="283">
        <f>SUM(D926:D929)</f>
        <v>0</v>
      </c>
      <c r="E925" s="283">
        <f>SUM(E926:E929)</f>
        <v>0</v>
      </c>
      <c r="F925" s="283">
        <f t="shared" si="27"/>
        <v>0</v>
      </c>
    </row>
    <row r="926" spans="1:6">
      <c r="A926" s="217">
        <v>222501</v>
      </c>
      <c r="B926" s="218" t="s">
        <v>315</v>
      </c>
      <c r="C926" s="306"/>
      <c r="D926" s="339"/>
      <c r="E926" s="173"/>
      <c r="F926" s="173">
        <f t="shared" si="27"/>
        <v>0</v>
      </c>
    </row>
    <row r="927" spans="1:6">
      <c r="A927" s="217">
        <v>222502</v>
      </c>
      <c r="B927" s="218" t="s">
        <v>316</v>
      </c>
      <c r="C927" s="306"/>
      <c r="D927" s="339"/>
      <c r="E927" s="173"/>
      <c r="F927" s="173">
        <f t="shared" si="27"/>
        <v>0</v>
      </c>
    </row>
    <row r="928" spans="1:6">
      <c r="A928" s="217">
        <v>222503</v>
      </c>
      <c r="B928" s="218" t="s">
        <v>317</v>
      </c>
      <c r="C928" s="306"/>
      <c r="D928" s="339"/>
      <c r="E928" s="173"/>
      <c r="F928" s="173">
        <f t="shared" si="27"/>
        <v>0</v>
      </c>
    </row>
    <row r="929" spans="1:6">
      <c r="A929" s="217">
        <v>222504</v>
      </c>
      <c r="B929" s="218" t="s">
        <v>318</v>
      </c>
      <c r="C929" s="306"/>
      <c r="D929" s="339"/>
      <c r="E929" s="173"/>
      <c r="F929" s="173">
        <f t="shared" si="27"/>
        <v>0</v>
      </c>
    </row>
    <row r="930" spans="1:6">
      <c r="A930" s="246">
        <v>2231</v>
      </c>
      <c r="B930" s="247" t="s">
        <v>21</v>
      </c>
      <c r="C930" s="306"/>
      <c r="D930" s="283">
        <f>SUM(D931:D933)</f>
        <v>0</v>
      </c>
      <c r="E930" s="52">
        <f>SUM(E931:E933)</f>
        <v>0</v>
      </c>
      <c r="F930" s="52">
        <f t="shared" si="27"/>
        <v>0</v>
      </c>
    </row>
    <row r="931" spans="1:6">
      <c r="A931" s="217">
        <v>223101</v>
      </c>
      <c r="B931" s="218" t="s">
        <v>319</v>
      </c>
      <c r="C931" s="306"/>
      <c r="D931" s="341"/>
      <c r="E931" s="175"/>
      <c r="F931" s="341">
        <f t="shared" si="27"/>
        <v>0</v>
      </c>
    </row>
    <row r="932" spans="1:6">
      <c r="A932" s="217">
        <v>223102</v>
      </c>
      <c r="B932" s="218" t="s">
        <v>22</v>
      </c>
      <c r="C932" s="306"/>
      <c r="D932" s="341"/>
      <c r="E932" s="175"/>
      <c r="F932" s="341">
        <f t="shared" si="27"/>
        <v>0</v>
      </c>
    </row>
    <row r="933" spans="1:6">
      <c r="A933" s="217">
        <v>223103</v>
      </c>
      <c r="B933" s="218" t="s">
        <v>340</v>
      </c>
      <c r="C933" s="306"/>
      <c r="D933" s="341"/>
      <c r="E933" s="341"/>
      <c r="F933" s="341">
        <f t="shared" si="27"/>
        <v>0</v>
      </c>
    </row>
    <row r="934" spans="1:6">
      <c r="A934" s="246">
        <v>2244</v>
      </c>
      <c r="B934" s="247" t="s">
        <v>321</v>
      </c>
      <c r="C934" s="306"/>
      <c r="D934" s="283">
        <f>SUM(D935:D936)</f>
        <v>0</v>
      </c>
      <c r="E934" s="52">
        <f>SUM(E935:E936)</f>
        <v>0</v>
      </c>
      <c r="F934" s="52">
        <f t="shared" si="27"/>
        <v>0</v>
      </c>
    </row>
    <row r="935" spans="1:6">
      <c r="A935" s="217">
        <v>224401</v>
      </c>
      <c r="B935" s="218" t="s">
        <v>344</v>
      </c>
      <c r="C935" s="306"/>
      <c r="D935" s="341"/>
      <c r="E935" s="173"/>
      <c r="F935" s="173">
        <f t="shared" si="27"/>
        <v>0</v>
      </c>
    </row>
    <row r="936" spans="1:6">
      <c r="A936" s="217">
        <v>224402</v>
      </c>
      <c r="B936" s="218" t="s">
        <v>323</v>
      </c>
      <c r="C936" s="306"/>
      <c r="D936" s="341"/>
      <c r="E936" s="173"/>
      <c r="F936" s="173">
        <f t="shared" si="27"/>
        <v>0</v>
      </c>
    </row>
    <row r="937" spans="1:6">
      <c r="A937" s="246">
        <v>2281</v>
      </c>
      <c r="B937" s="247" t="s">
        <v>13</v>
      </c>
      <c r="C937" s="306"/>
      <c r="D937" s="283">
        <f>D938</f>
        <v>0</v>
      </c>
      <c r="E937" s="283">
        <f>E938</f>
        <v>0</v>
      </c>
      <c r="F937" s="283">
        <f t="shared" si="27"/>
        <v>0</v>
      </c>
    </row>
    <row r="938" spans="1:6">
      <c r="A938" s="217">
        <v>228101</v>
      </c>
      <c r="B938" s="218" t="s">
        <v>325</v>
      </c>
      <c r="C938" s="306"/>
      <c r="D938" s="341"/>
      <c r="E938" s="173"/>
      <c r="F938" s="173">
        <f t="shared" si="27"/>
        <v>0</v>
      </c>
    </row>
    <row r="939" spans="1:6" ht="55.75">
      <c r="A939" s="327">
        <v>30501</v>
      </c>
      <c r="B939" s="342" t="s">
        <v>364</v>
      </c>
      <c r="C939" s="306"/>
      <c r="D939" s="169" t="s">
        <v>261</v>
      </c>
      <c r="E939" s="169" t="s">
        <v>358</v>
      </c>
      <c r="F939" s="169" t="s">
        <v>363</v>
      </c>
    </row>
    <row r="940" spans="1:6">
      <c r="A940" s="280" t="s">
        <v>5</v>
      </c>
      <c r="B940" s="281" t="s">
        <v>65</v>
      </c>
      <c r="C940" s="306"/>
      <c r="D940" s="282">
        <f>D941+D952</f>
        <v>0</v>
      </c>
      <c r="E940" s="282">
        <f>E941+E952</f>
        <v>0</v>
      </c>
      <c r="F940" s="282">
        <f>E940/12</f>
        <v>0</v>
      </c>
    </row>
    <row r="941" spans="1:6">
      <c r="A941" s="329">
        <v>21</v>
      </c>
      <c r="B941" s="330" t="s">
        <v>6</v>
      </c>
      <c r="C941" s="306"/>
      <c r="D941" s="331">
        <f>D942</f>
        <v>0</v>
      </c>
      <c r="E941" s="331">
        <f>E942</f>
        <v>0</v>
      </c>
      <c r="F941" s="331">
        <f t="shared" ref="F941:F985" si="28">E941/12</f>
        <v>0</v>
      </c>
    </row>
    <row r="942" spans="1:6">
      <c r="A942" s="332">
        <v>211</v>
      </c>
      <c r="B942" s="333" t="s">
        <v>7</v>
      </c>
      <c r="C942" s="306"/>
      <c r="D942" s="334">
        <f>D943+D946+D950</f>
        <v>0</v>
      </c>
      <c r="E942" s="334">
        <f>E943+E946+E950</f>
        <v>0</v>
      </c>
      <c r="F942" s="334">
        <f t="shared" si="28"/>
        <v>0</v>
      </c>
    </row>
    <row r="943" spans="1:6">
      <c r="A943" s="335">
        <v>2111</v>
      </c>
      <c r="B943" s="340" t="s">
        <v>8</v>
      </c>
      <c r="C943" s="306"/>
      <c r="D943" s="283">
        <f>SUM(D944:D945)</f>
        <v>0</v>
      </c>
      <c r="E943" s="283">
        <f>SUM(E944:E945)</f>
        <v>0</v>
      </c>
      <c r="F943" s="283">
        <f t="shared" si="28"/>
        <v>0</v>
      </c>
    </row>
    <row r="944" spans="1:6">
      <c r="A944" s="337">
        <v>211101</v>
      </c>
      <c r="B944" s="338" t="s">
        <v>9</v>
      </c>
      <c r="C944" s="306"/>
      <c r="D944" s="339"/>
      <c r="E944" s="173"/>
      <c r="F944" s="173">
        <f t="shared" si="28"/>
        <v>0</v>
      </c>
    </row>
    <row r="945" spans="1:6">
      <c r="A945" s="337">
        <v>211106</v>
      </c>
      <c r="B945" s="338" t="s">
        <v>33</v>
      </c>
      <c r="C945" s="306"/>
      <c r="D945" s="339"/>
      <c r="E945" s="339"/>
      <c r="F945" s="173">
        <f t="shared" si="28"/>
        <v>0</v>
      </c>
    </row>
    <row r="946" spans="1:6">
      <c r="A946" s="335">
        <v>2113</v>
      </c>
      <c r="B946" s="340" t="s">
        <v>10</v>
      </c>
      <c r="C946" s="306"/>
      <c r="D946" s="283">
        <f>SUM(D947:D949)</f>
        <v>0</v>
      </c>
      <c r="E946" s="283">
        <f>SUM(E947:E949)</f>
        <v>0</v>
      </c>
      <c r="F946" s="283">
        <f t="shared" si="28"/>
        <v>0</v>
      </c>
    </row>
    <row r="947" spans="1:6">
      <c r="A947" s="337">
        <v>211301</v>
      </c>
      <c r="B947" s="338" t="s">
        <v>11</v>
      </c>
      <c r="C947" s="306"/>
      <c r="D947" s="341"/>
      <c r="E947" s="173"/>
      <c r="F947" s="173">
        <f t="shared" si="28"/>
        <v>0</v>
      </c>
    </row>
    <row r="948" spans="1:6">
      <c r="A948" s="337">
        <v>211306</v>
      </c>
      <c r="B948" s="338" t="s">
        <v>34</v>
      </c>
      <c r="C948" s="306"/>
      <c r="D948" s="339"/>
      <c r="E948" s="339"/>
      <c r="F948" s="173">
        <f t="shared" si="28"/>
        <v>0</v>
      </c>
    </row>
    <row r="949" spans="1:6">
      <c r="A949" s="337">
        <v>211308</v>
      </c>
      <c r="B949" s="338" t="s">
        <v>12</v>
      </c>
      <c r="C949" s="306"/>
      <c r="D949" s="341"/>
      <c r="E949" s="173"/>
      <c r="F949" s="173">
        <f t="shared" si="28"/>
        <v>0</v>
      </c>
    </row>
    <row r="950" spans="1:6">
      <c r="A950" s="335">
        <v>2115</v>
      </c>
      <c r="B950" s="340" t="s">
        <v>13</v>
      </c>
      <c r="C950" s="306"/>
      <c r="D950" s="283">
        <f>D951</f>
        <v>0</v>
      </c>
      <c r="E950" s="283">
        <f>E951</f>
        <v>0</v>
      </c>
      <c r="F950" s="283">
        <f t="shared" si="28"/>
        <v>0</v>
      </c>
    </row>
    <row r="951" spans="1:6">
      <c r="A951" s="337">
        <v>211501</v>
      </c>
      <c r="B951" s="338" t="s">
        <v>14</v>
      </c>
      <c r="C951" s="306"/>
      <c r="D951" s="341"/>
      <c r="E951" s="173"/>
      <c r="F951" s="173">
        <f t="shared" si="28"/>
        <v>0</v>
      </c>
    </row>
    <row r="952" spans="1:6">
      <c r="A952" s="329">
        <v>22</v>
      </c>
      <c r="B952" s="330" t="s">
        <v>15</v>
      </c>
      <c r="C952" s="306"/>
      <c r="D952" s="331">
        <f>D953</f>
        <v>0</v>
      </c>
      <c r="E952" s="331">
        <f>E953</f>
        <v>0</v>
      </c>
      <c r="F952" s="331">
        <f t="shared" si="28"/>
        <v>0</v>
      </c>
    </row>
    <row r="953" spans="1:6">
      <c r="A953" s="332">
        <v>221</v>
      </c>
      <c r="B953" s="333" t="s">
        <v>16</v>
      </c>
      <c r="C953" s="306"/>
      <c r="D953" s="334">
        <f>D954+D958+D961+D964+D967+D972+D977+D981+D984</f>
        <v>0</v>
      </c>
      <c r="E953" s="334">
        <f>E954+E958+E961+E964+E967+E972+E977+E981+E984</f>
        <v>0</v>
      </c>
      <c r="F953" s="334">
        <f t="shared" si="28"/>
        <v>0</v>
      </c>
    </row>
    <row r="954" spans="1:6">
      <c r="A954" s="74">
        <v>2211</v>
      </c>
      <c r="B954" s="194" t="s">
        <v>304</v>
      </c>
      <c r="C954" s="306"/>
      <c r="D954" s="283">
        <f>SUM(D955:D957)</f>
        <v>0</v>
      </c>
      <c r="E954" s="52">
        <f>SUM(E955:E957)</f>
        <v>0</v>
      </c>
      <c r="F954" s="52">
        <f t="shared" si="28"/>
        <v>0</v>
      </c>
    </row>
    <row r="955" spans="1:6">
      <c r="A955" s="268">
        <v>221101</v>
      </c>
      <c r="B955" s="269" t="s">
        <v>305</v>
      </c>
      <c r="C955" s="306"/>
      <c r="D955" s="339"/>
      <c r="E955" s="174"/>
      <c r="F955" s="174">
        <f>E955/12</f>
        <v>0</v>
      </c>
    </row>
    <row r="956" spans="1:6">
      <c r="A956" s="268">
        <v>221102</v>
      </c>
      <c r="B956" s="269" t="s">
        <v>30</v>
      </c>
      <c r="C956" s="306"/>
      <c r="D956" s="339"/>
      <c r="E956" s="341"/>
      <c r="F956" s="174">
        <f t="shared" si="28"/>
        <v>0</v>
      </c>
    </row>
    <row r="957" spans="1:6">
      <c r="A957" s="217">
        <v>221103</v>
      </c>
      <c r="B957" s="218" t="s">
        <v>306</v>
      </c>
      <c r="C957" s="306"/>
      <c r="D957" s="339"/>
      <c r="E957" s="341"/>
      <c r="F957" s="174">
        <f t="shared" si="28"/>
        <v>0</v>
      </c>
    </row>
    <row r="958" spans="1:6">
      <c r="A958" s="246">
        <v>2221</v>
      </c>
      <c r="B958" s="247" t="s">
        <v>17</v>
      </c>
      <c r="C958" s="306"/>
      <c r="D958" s="283">
        <f>SUM(D959:D960)</f>
        <v>0</v>
      </c>
      <c r="E958" s="283">
        <f>SUM(E959:E960)</f>
        <v>0</v>
      </c>
      <c r="F958" s="283">
        <f t="shared" si="28"/>
        <v>0</v>
      </c>
    </row>
    <row r="959" spans="1:6">
      <c r="A959" s="217">
        <v>222101</v>
      </c>
      <c r="B959" s="218" t="s">
        <v>18</v>
      </c>
      <c r="C959" s="306"/>
      <c r="D959" s="341"/>
      <c r="E959" s="341"/>
      <c r="F959" s="341">
        <f t="shared" si="28"/>
        <v>0</v>
      </c>
    </row>
    <row r="960" spans="1:6">
      <c r="A960" s="217">
        <v>222102</v>
      </c>
      <c r="B960" s="218" t="s">
        <v>19</v>
      </c>
      <c r="C960" s="306"/>
      <c r="D960" s="341"/>
      <c r="E960" s="173"/>
      <c r="F960" s="341">
        <f t="shared" si="28"/>
        <v>0</v>
      </c>
    </row>
    <row r="961" spans="1:6">
      <c r="A961" s="74">
        <v>2222</v>
      </c>
      <c r="B961" s="194" t="s">
        <v>20</v>
      </c>
      <c r="C961" s="306"/>
      <c r="D961" s="283">
        <f>SUM(D962:D963)</f>
        <v>0</v>
      </c>
      <c r="E961" s="283">
        <f>SUM(E962:E963)</f>
        <v>0</v>
      </c>
      <c r="F961" s="283">
        <f t="shared" si="28"/>
        <v>0</v>
      </c>
    </row>
    <row r="962" spans="1:6">
      <c r="A962" s="217">
        <v>222201</v>
      </c>
      <c r="B962" s="218" t="s">
        <v>309</v>
      </c>
      <c r="C962" s="306"/>
      <c r="D962" s="339"/>
      <c r="E962" s="173"/>
      <c r="F962" s="173">
        <f t="shared" si="28"/>
        <v>0</v>
      </c>
    </row>
    <row r="963" spans="1:6">
      <c r="A963" s="217">
        <v>222202</v>
      </c>
      <c r="B963" s="218" t="s">
        <v>328</v>
      </c>
      <c r="C963" s="306"/>
      <c r="D963" s="339"/>
      <c r="E963" s="339"/>
      <c r="F963" s="173">
        <f t="shared" si="28"/>
        <v>0</v>
      </c>
    </row>
    <row r="964" spans="1:6">
      <c r="A964" s="246">
        <v>2223</v>
      </c>
      <c r="B964" s="247" t="s">
        <v>23</v>
      </c>
      <c r="C964" s="306"/>
      <c r="D964" s="283">
        <f>SUM(D965:D966)</f>
        <v>0</v>
      </c>
      <c r="E964" s="283">
        <f>SUM(E965:E966)</f>
        <v>0</v>
      </c>
      <c r="F964" s="283">
        <f t="shared" si="28"/>
        <v>0</v>
      </c>
    </row>
    <row r="965" spans="1:6">
      <c r="A965" s="217">
        <v>222301</v>
      </c>
      <c r="B965" s="218" t="s">
        <v>310</v>
      </c>
      <c r="C965" s="306"/>
      <c r="D965" s="339"/>
      <c r="E965" s="173"/>
      <c r="F965" s="173">
        <f t="shared" si="28"/>
        <v>0</v>
      </c>
    </row>
    <row r="966" spans="1:6">
      <c r="A966" s="217">
        <v>222302</v>
      </c>
      <c r="B966" s="218" t="s">
        <v>24</v>
      </c>
      <c r="C966" s="306"/>
      <c r="D966" s="339"/>
      <c r="E966" s="175"/>
      <c r="F966" s="173">
        <f t="shared" si="28"/>
        <v>0</v>
      </c>
    </row>
    <row r="967" spans="1:6">
      <c r="A967" s="246">
        <v>2224</v>
      </c>
      <c r="B967" s="194" t="s">
        <v>330</v>
      </c>
      <c r="C967" s="306"/>
      <c r="D967" s="283">
        <f>SUM(D968:D971)</f>
        <v>0</v>
      </c>
      <c r="E967" s="52">
        <f>SUM(E968:E971)</f>
        <v>0</v>
      </c>
      <c r="F967" s="52">
        <f t="shared" si="28"/>
        <v>0</v>
      </c>
    </row>
    <row r="968" spans="1:6">
      <c r="A968" s="217">
        <v>222401</v>
      </c>
      <c r="B968" s="218" t="s">
        <v>343</v>
      </c>
      <c r="C968" s="306"/>
      <c r="D968" s="339"/>
      <c r="E968" s="175"/>
      <c r="F968" s="175">
        <f t="shared" si="28"/>
        <v>0</v>
      </c>
    </row>
    <row r="969" spans="1:6">
      <c r="A969" s="217">
        <v>222403</v>
      </c>
      <c r="B969" s="218" t="s">
        <v>312</v>
      </c>
      <c r="C969" s="306"/>
      <c r="D969" s="339"/>
      <c r="E969" s="175"/>
      <c r="F969" s="175">
        <f t="shared" si="28"/>
        <v>0</v>
      </c>
    </row>
    <row r="970" spans="1:6">
      <c r="A970" s="217">
        <v>222404</v>
      </c>
      <c r="B970" s="218" t="s">
        <v>313</v>
      </c>
      <c r="C970" s="306"/>
      <c r="D970" s="339"/>
      <c r="E970" s="175"/>
      <c r="F970" s="175">
        <f t="shared" si="28"/>
        <v>0</v>
      </c>
    </row>
    <row r="971" spans="1:6">
      <c r="A971" s="217">
        <v>222405</v>
      </c>
      <c r="B971" s="218" t="s">
        <v>314</v>
      </c>
      <c r="C971" s="306"/>
      <c r="D971" s="339"/>
      <c r="E971" s="175"/>
      <c r="F971" s="175">
        <f t="shared" si="28"/>
        <v>0</v>
      </c>
    </row>
    <row r="972" spans="1:6">
      <c r="A972" s="74">
        <v>2225</v>
      </c>
      <c r="B972" s="194" t="s">
        <v>331</v>
      </c>
      <c r="C972" s="306"/>
      <c r="D972" s="283">
        <f>SUM(D973:D976)</f>
        <v>0</v>
      </c>
      <c r="E972" s="52">
        <f>SUM(E973:E976)</f>
        <v>0</v>
      </c>
      <c r="F972" s="52">
        <f t="shared" si="28"/>
        <v>0</v>
      </c>
    </row>
    <row r="973" spans="1:6">
      <c r="A973" s="217">
        <v>222501</v>
      </c>
      <c r="B973" s="218" t="s">
        <v>315</v>
      </c>
      <c r="C973" s="306"/>
      <c r="D973" s="339"/>
      <c r="E973" s="173"/>
      <c r="F973" s="173">
        <f t="shared" si="28"/>
        <v>0</v>
      </c>
    </row>
    <row r="974" spans="1:6">
      <c r="A974" s="217">
        <v>222502</v>
      </c>
      <c r="B974" s="218" t="s">
        <v>316</v>
      </c>
      <c r="C974" s="306"/>
      <c r="D974" s="339"/>
      <c r="E974" s="173"/>
      <c r="F974" s="173">
        <f t="shared" si="28"/>
        <v>0</v>
      </c>
    </row>
    <row r="975" spans="1:6">
      <c r="A975" s="217">
        <v>222503</v>
      </c>
      <c r="B975" s="218" t="s">
        <v>317</v>
      </c>
      <c r="C975" s="306"/>
      <c r="D975" s="339"/>
      <c r="E975" s="173"/>
      <c r="F975" s="173">
        <f t="shared" si="28"/>
        <v>0</v>
      </c>
    </row>
    <row r="976" spans="1:6">
      <c r="A976" s="217">
        <v>222504</v>
      </c>
      <c r="B976" s="218" t="s">
        <v>318</v>
      </c>
      <c r="C976" s="306"/>
      <c r="D976" s="339"/>
      <c r="E976" s="173"/>
      <c r="F976" s="173">
        <f t="shared" si="28"/>
        <v>0</v>
      </c>
    </row>
    <row r="977" spans="1:6">
      <c r="A977" s="246">
        <v>2231</v>
      </c>
      <c r="B977" s="247" t="s">
        <v>21</v>
      </c>
      <c r="C977" s="306"/>
      <c r="D977" s="283">
        <f>SUM(D978:D980)</f>
        <v>0</v>
      </c>
      <c r="E977" s="283">
        <f>SUM(E978:E980)</f>
        <v>0</v>
      </c>
      <c r="F977" s="283">
        <f t="shared" si="28"/>
        <v>0</v>
      </c>
    </row>
    <row r="978" spans="1:6">
      <c r="A978" s="217">
        <v>223101</v>
      </c>
      <c r="B978" s="218" t="s">
        <v>319</v>
      </c>
      <c r="C978" s="306"/>
      <c r="D978" s="341"/>
      <c r="E978" s="341"/>
      <c r="F978" s="341">
        <f t="shared" si="28"/>
        <v>0</v>
      </c>
    </row>
    <row r="979" spans="1:6">
      <c r="A979" s="217">
        <v>223102</v>
      </c>
      <c r="B979" s="218" t="s">
        <v>22</v>
      </c>
      <c r="C979" s="306"/>
      <c r="D979" s="341"/>
      <c r="E979" s="341"/>
      <c r="F979" s="341">
        <f t="shared" si="28"/>
        <v>0</v>
      </c>
    </row>
    <row r="980" spans="1:6">
      <c r="A980" s="217">
        <v>223103</v>
      </c>
      <c r="B980" s="218" t="s">
        <v>340</v>
      </c>
      <c r="C980" s="306"/>
      <c r="D980" s="341"/>
      <c r="E980" s="173"/>
      <c r="F980" s="341">
        <f t="shared" si="28"/>
        <v>0</v>
      </c>
    </row>
    <row r="981" spans="1:6">
      <c r="A981" s="246">
        <v>2244</v>
      </c>
      <c r="B981" s="247" t="s">
        <v>321</v>
      </c>
      <c r="C981" s="306"/>
      <c r="D981" s="283">
        <f>SUM(D982:D983)</f>
        <v>0</v>
      </c>
      <c r="E981" s="283">
        <f>SUM(E982:E983)</f>
        <v>0</v>
      </c>
      <c r="F981" s="283">
        <f t="shared" si="28"/>
        <v>0</v>
      </c>
    </row>
    <row r="982" spans="1:6">
      <c r="A982" s="217">
        <v>224401</v>
      </c>
      <c r="B982" s="218" t="s">
        <v>344</v>
      </c>
      <c r="C982" s="306"/>
      <c r="D982" s="341"/>
      <c r="E982" s="341"/>
      <c r="F982" s="341">
        <f t="shared" si="28"/>
        <v>0</v>
      </c>
    </row>
    <row r="983" spans="1:6">
      <c r="A983" s="217">
        <v>224402</v>
      </c>
      <c r="B983" s="218" t="s">
        <v>323</v>
      </c>
      <c r="C983" s="306"/>
      <c r="D983" s="341"/>
      <c r="E983" s="341"/>
      <c r="F983" s="341">
        <f t="shared" si="28"/>
        <v>0</v>
      </c>
    </row>
    <row r="984" spans="1:6">
      <c r="A984" s="246">
        <v>2281</v>
      </c>
      <c r="B984" s="247" t="s">
        <v>13</v>
      </c>
      <c r="C984" s="306"/>
      <c r="D984" s="283">
        <f>D985</f>
        <v>0</v>
      </c>
      <c r="E984" s="283">
        <f>E985</f>
        <v>0</v>
      </c>
      <c r="F984" s="283">
        <f t="shared" si="28"/>
        <v>0</v>
      </c>
    </row>
    <row r="985" spans="1:6">
      <c r="A985" s="217">
        <v>228101</v>
      </c>
      <c r="B985" s="218" t="s">
        <v>325</v>
      </c>
      <c r="C985" s="306"/>
      <c r="D985" s="341"/>
      <c r="E985" s="173"/>
      <c r="F985" s="173">
        <f t="shared" si="28"/>
        <v>0</v>
      </c>
    </row>
    <row r="986" spans="1:6" ht="55.75">
      <c r="A986" s="296">
        <v>30601</v>
      </c>
      <c r="B986" s="297" t="s">
        <v>57</v>
      </c>
      <c r="C986" s="306"/>
      <c r="D986" s="169" t="s">
        <v>261</v>
      </c>
      <c r="E986" s="169" t="s">
        <v>358</v>
      </c>
      <c r="F986" s="169" t="s">
        <v>363</v>
      </c>
    </row>
    <row r="987" spans="1:6">
      <c r="A987" s="280" t="s">
        <v>5</v>
      </c>
      <c r="B987" s="281" t="s">
        <v>65</v>
      </c>
      <c r="C987" s="306"/>
      <c r="D987" s="282">
        <f>D988+D999</f>
        <v>0</v>
      </c>
      <c r="E987" s="282">
        <f>E988+E999</f>
        <v>0</v>
      </c>
      <c r="F987" s="282">
        <f>E987/12</f>
        <v>0</v>
      </c>
    </row>
    <row r="988" spans="1:6">
      <c r="A988" s="298">
        <v>21</v>
      </c>
      <c r="B988" s="299" t="s">
        <v>6</v>
      </c>
      <c r="C988" s="306"/>
      <c r="D988" s="300">
        <f>D989</f>
        <v>0</v>
      </c>
      <c r="E988" s="300">
        <f>E989</f>
        <v>0</v>
      </c>
      <c r="F988" s="300">
        <f t="shared" ref="F988:F1032" si="29">E988/12</f>
        <v>0</v>
      </c>
    </row>
    <row r="989" spans="1:6">
      <c r="A989" s="301">
        <v>211</v>
      </c>
      <c r="B989" s="302" t="s">
        <v>7</v>
      </c>
      <c r="C989" s="306"/>
      <c r="D989" s="305">
        <f>D990+D993+D997</f>
        <v>0</v>
      </c>
      <c r="E989" s="305">
        <f>E990+E993+E997</f>
        <v>0</v>
      </c>
      <c r="F989" s="305">
        <f t="shared" si="29"/>
        <v>0</v>
      </c>
    </row>
    <row r="990" spans="1:6">
      <c r="A990" s="230">
        <v>2111</v>
      </c>
      <c r="B990" s="231" t="s">
        <v>8</v>
      </c>
      <c r="C990" s="306"/>
      <c r="D990" s="283">
        <f>SUM(D991:D992)</f>
        <v>0</v>
      </c>
      <c r="E990" s="283">
        <f>SUM(E991:E992)</f>
        <v>0</v>
      </c>
      <c r="F990" s="283">
        <f t="shared" si="29"/>
        <v>0</v>
      </c>
    </row>
    <row r="991" spans="1:6">
      <c r="A991" s="232">
        <v>211101</v>
      </c>
      <c r="B991" s="233" t="s">
        <v>9</v>
      </c>
      <c r="C991" s="306"/>
      <c r="D991" s="176"/>
      <c r="E991" s="173"/>
      <c r="F991" s="173">
        <f t="shared" si="29"/>
        <v>0</v>
      </c>
    </row>
    <row r="992" spans="1:6">
      <c r="A992" s="232">
        <v>211106</v>
      </c>
      <c r="B992" s="233" t="s">
        <v>33</v>
      </c>
      <c r="C992" s="306"/>
      <c r="D992" s="176"/>
      <c r="E992" s="173"/>
      <c r="F992" s="173">
        <f t="shared" si="29"/>
        <v>0</v>
      </c>
    </row>
    <row r="993" spans="1:6">
      <c r="A993" s="230">
        <v>2113</v>
      </c>
      <c r="B993" s="231" t="s">
        <v>10</v>
      </c>
      <c r="C993" s="306"/>
      <c r="D993" s="283">
        <f>SUM(D994:D996)</f>
        <v>0</v>
      </c>
      <c r="E993" s="283">
        <f>SUM(E994:E996)</f>
        <v>0</v>
      </c>
      <c r="F993" s="283">
        <f t="shared" si="29"/>
        <v>0</v>
      </c>
    </row>
    <row r="994" spans="1:6">
      <c r="A994" s="232">
        <v>211301</v>
      </c>
      <c r="B994" s="233" t="s">
        <v>11</v>
      </c>
      <c r="C994" s="306"/>
      <c r="D994" s="177"/>
      <c r="E994" s="173"/>
      <c r="F994" s="174">
        <f t="shared" si="29"/>
        <v>0</v>
      </c>
    </row>
    <row r="995" spans="1:6">
      <c r="A995" s="232">
        <v>211306</v>
      </c>
      <c r="B995" s="233" t="s">
        <v>34</v>
      </c>
      <c r="C995" s="306"/>
      <c r="D995" s="176"/>
      <c r="E995" s="176"/>
      <c r="F995" s="174">
        <f t="shared" si="29"/>
        <v>0</v>
      </c>
    </row>
    <row r="996" spans="1:6">
      <c r="A996" s="232">
        <v>211308</v>
      </c>
      <c r="B996" s="233" t="s">
        <v>12</v>
      </c>
      <c r="C996" s="306"/>
      <c r="D996" s="176"/>
      <c r="E996" s="174"/>
      <c r="F996" s="174">
        <f t="shared" si="29"/>
        <v>0</v>
      </c>
    </row>
    <row r="997" spans="1:6">
      <c r="A997" s="230">
        <v>2115</v>
      </c>
      <c r="B997" s="231" t="s">
        <v>13</v>
      </c>
      <c r="C997" s="306"/>
      <c r="D997" s="283">
        <f>D998</f>
        <v>0</v>
      </c>
      <c r="E997" s="283">
        <f>E998</f>
        <v>0</v>
      </c>
      <c r="F997" s="283">
        <f t="shared" si="29"/>
        <v>0</v>
      </c>
    </row>
    <row r="998" spans="1:6">
      <c r="A998" s="232">
        <v>211501</v>
      </c>
      <c r="B998" s="233" t="s">
        <v>14</v>
      </c>
      <c r="C998" s="306"/>
      <c r="D998" s="177"/>
      <c r="E998" s="174"/>
      <c r="F998" s="174">
        <f t="shared" si="29"/>
        <v>0</v>
      </c>
    </row>
    <row r="999" spans="1:6">
      <c r="A999" s="298">
        <v>22</v>
      </c>
      <c r="B999" s="299" t="s">
        <v>15</v>
      </c>
      <c r="C999" s="306"/>
      <c r="D999" s="300">
        <f>D1000</f>
        <v>0</v>
      </c>
      <c r="E999" s="300">
        <f>E1000</f>
        <v>0</v>
      </c>
      <c r="F999" s="300">
        <f t="shared" si="29"/>
        <v>0</v>
      </c>
    </row>
    <row r="1000" spans="1:6">
      <c r="A1000" s="301">
        <v>221</v>
      </c>
      <c r="B1000" s="302" t="s">
        <v>16</v>
      </c>
      <c r="C1000" s="306"/>
      <c r="D1000" s="305">
        <f>D1001+D1005+D1008+D1011+D1014+D1019+D1024+D1028+D1031</f>
        <v>0</v>
      </c>
      <c r="E1000" s="305">
        <f>E1001+E1005+E1008+E1011+E1014+E1019+E1024+E1028+E1031</f>
        <v>0</v>
      </c>
      <c r="F1000" s="305">
        <f t="shared" si="29"/>
        <v>0</v>
      </c>
    </row>
    <row r="1001" spans="1:6">
      <c r="A1001" s="74">
        <v>2211</v>
      </c>
      <c r="B1001" s="194" t="s">
        <v>304</v>
      </c>
      <c r="C1001" s="306"/>
      <c r="D1001" s="283">
        <f>SUM(D1002:D1004)</f>
        <v>0</v>
      </c>
      <c r="E1001" s="283">
        <f>SUM(E1002:E1004)</f>
        <v>0</v>
      </c>
      <c r="F1001" s="283">
        <f t="shared" si="29"/>
        <v>0</v>
      </c>
    </row>
    <row r="1002" spans="1:6">
      <c r="A1002" s="268">
        <v>221101</v>
      </c>
      <c r="B1002" s="269" t="s">
        <v>305</v>
      </c>
      <c r="C1002" s="306"/>
      <c r="D1002" s="176"/>
      <c r="E1002" s="173"/>
      <c r="F1002" s="173">
        <f t="shared" si="29"/>
        <v>0</v>
      </c>
    </row>
    <row r="1003" spans="1:6">
      <c r="A1003" s="268">
        <v>221102</v>
      </c>
      <c r="B1003" s="269" t="s">
        <v>30</v>
      </c>
      <c r="C1003" s="306"/>
      <c r="D1003" s="176"/>
      <c r="E1003" s="173"/>
      <c r="F1003" s="173">
        <f t="shared" si="29"/>
        <v>0</v>
      </c>
    </row>
    <row r="1004" spans="1:6">
      <c r="A1004" s="217">
        <v>221103</v>
      </c>
      <c r="B1004" s="218" t="s">
        <v>306</v>
      </c>
      <c r="C1004" s="306"/>
      <c r="D1004" s="176"/>
      <c r="E1004" s="176"/>
      <c r="F1004" s="173">
        <f t="shared" si="29"/>
        <v>0</v>
      </c>
    </row>
    <row r="1005" spans="1:6">
      <c r="A1005" s="246">
        <v>2221</v>
      </c>
      <c r="B1005" s="247" t="s">
        <v>17</v>
      </c>
      <c r="C1005" s="306"/>
      <c r="D1005" s="283">
        <f>SUM(D1006:D1007)</f>
        <v>0</v>
      </c>
      <c r="E1005" s="283">
        <f>SUM(E1006:E1007)</f>
        <v>0</v>
      </c>
      <c r="F1005" s="283">
        <f t="shared" si="29"/>
        <v>0</v>
      </c>
    </row>
    <row r="1006" spans="1:6">
      <c r="A1006" s="217">
        <v>222101</v>
      </c>
      <c r="B1006" s="218" t="s">
        <v>18</v>
      </c>
      <c r="C1006" s="306"/>
      <c r="D1006" s="177"/>
      <c r="E1006" s="173"/>
      <c r="F1006" s="173">
        <f t="shared" si="29"/>
        <v>0</v>
      </c>
    </row>
    <row r="1007" spans="1:6">
      <c r="A1007" s="217">
        <v>222102</v>
      </c>
      <c r="B1007" s="218" t="s">
        <v>19</v>
      </c>
      <c r="C1007" s="306"/>
      <c r="D1007" s="177"/>
      <c r="E1007" s="175"/>
      <c r="F1007" s="173">
        <f t="shared" si="29"/>
        <v>0</v>
      </c>
    </row>
    <row r="1008" spans="1:6">
      <c r="A1008" s="74">
        <v>2222</v>
      </c>
      <c r="B1008" s="194" t="s">
        <v>20</v>
      </c>
      <c r="C1008" s="306"/>
      <c r="D1008" s="283">
        <f>SUM(D1009:D1010)</f>
        <v>0</v>
      </c>
      <c r="E1008" s="52">
        <f>SUM(E1009:E1010)</f>
        <v>0</v>
      </c>
      <c r="F1008" s="52">
        <f t="shared" si="29"/>
        <v>0</v>
      </c>
    </row>
    <row r="1009" spans="1:6">
      <c r="A1009" s="217">
        <v>222201</v>
      </c>
      <c r="B1009" s="218" t="s">
        <v>309</v>
      </c>
      <c r="C1009" s="306"/>
      <c r="D1009" s="176"/>
      <c r="E1009" s="175"/>
      <c r="F1009" s="175">
        <f t="shared" si="29"/>
        <v>0</v>
      </c>
    </row>
    <row r="1010" spans="1:6">
      <c r="A1010" s="217">
        <v>222202</v>
      </c>
      <c r="B1010" s="218" t="s">
        <v>328</v>
      </c>
      <c r="C1010" s="306"/>
      <c r="D1010" s="176"/>
      <c r="E1010" s="176"/>
      <c r="F1010" s="175">
        <f t="shared" si="29"/>
        <v>0</v>
      </c>
    </row>
    <row r="1011" spans="1:6">
      <c r="A1011" s="246">
        <v>2223</v>
      </c>
      <c r="B1011" s="247" t="s">
        <v>23</v>
      </c>
      <c r="C1011" s="306"/>
      <c r="D1011" s="283">
        <f>SUM(D1012:D1013)</f>
        <v>0</v>
      </c>
      <c r="E1011" s="52">
        <f>SUM(E1012:E1013)</f>
        <v>0</v>
      </c>
      <c r="F1011" s="52">
        <f t="shared" si="29"/>
        <v>0</v>
      </c>
    </row>
    <row r="1012" spans="1:6">
      <c r="A1012" s="217">
        <v>222301</v>
      </c>
      <c r="B1012" s="218" t="s">
        <v>310</v>
      </c>
      <c r="C1012" s="306"/>
      <c r="D1012" s="176"/>
      <c r="E1012" s="173"/>
      <c r="F1012" s="173">
        <f t="shared" si="29"/>
        <v>0</v>
      </c>
    </row>
    <row r="1013" spans="1:6">
      <c r="A1013" s="217">
        <v>222302</v>
      </c>
      <c r="B1013" s="218" t="s">
        <v>24</v>
      </c>
      <c r="C1013" s="306"/>
      <c r="D1013" s="176"/>
      <c r="E1013" s="173"/>
      <c r="F1013" s="173">
        <f t="shared" si="29"/>
        <v>0</v>
      </c>
    </row>
    <row r="1014" spans="1:6">
      <c r="A1014" s="246">
        <v>2224</v>
      </c>
      <c r="B1014" s="194" t="s">
        <v>330</v>
      </c>
      <c r="C1014" s="306"/>
      <c r="D1014" s="283">
        <f>SUM(D1015:D1018)</f>
        <v>0</v>
      </c>
      <c r="E1014" s="283">
        <f>SUM(E1015:E1018)</f>
        <v>0</v>
      </c>
      <c r="F1014" s="283">
        <f t="shared" si="29"/>
        <v>0</v>
      </c>
    </row>
    <row r="1015" spans="1:6">
      <c r="A1015" s="217">
        <v>222401</v>
      </c>
      <c r="B1015" s="218" t="s">
        <v>343</v>
      </c>
      <c r="C1015" s="306"/>
      <c r="D1015" s="176"/>
      <c r="E1015" s="176"/>
      <c r="F1015" s="176">
        <f t="shared" si="29"/>
        <v>0</v>
      </c>
    </row>
    <row r="1016" spans="1:6">
      <c r="A1016" s="217">
        <v>222403</v>
      </c>
      <c r="B1016" s="218" t="s">
        <v>312</v>
      </c>
      <c r="C1016" s="306"/>
      <c r="D1016" s="176"/>
      <c r="E1016" s="176"/>
      <c r="F1016" s="176">
        <f t="shared" si="29"/>
        <v>0</v>
      </c>
    </row>
    <row r="1017" spans="1:6">
      <c r="A1017" s="217">
        <v>222404</v>
      </c>
      <c r="B1017" s="218" t="s">
        <v>313</v>
      </c>
      <c r="C1017" s="306"/>
      <c r="D1017" s="176"/>
      <c r="E1017" s="176"/>
      <c r="F1017" s="176">
        <f t="shared" si="29"/>
        <v>0</v>
      </c>
    </row>
    <row r="1018" spans="1:6">
      <c r="A1018" s="217">
        <v>222405</v>
      </c>
      <c r="B1018" s="218" t="s">
        <v>314</v>
      </c>
      <c r="C1018" s="306"/>
      <c r="D1018" s="176"/>
      <c r="E1018" s="176"/>
      <c r="F1018" s="176">
        <f t="shared" si="29"/>
        <v>0</v>
      </c>
    </row>
    <row r="1019" spans="1:6">
      <c r="A1019" s="74">
        <v>2225</v>
      </c>
      <c r="B1019" s="194" t="s">
        <v>331</v>
      </c>
      <c r="C1019" s="306"/>
      <c r="D1019" s="283">
        <f>SUM(D1020:D1023)</f>
        <v>0</v>
      </c>
      <c r="E1019" s="283">
        <f>SUM(E1020:E1023)</f>
        <v>0</v>
      </c>
      <c r="F1019" s="283">
        <f t="shared" si="29"/>
        <v>0</v>
      </c>
    </row>
    <row r="1020" spans="1:6">
      <c r="A1020" s="217">
        <v>222501</v>
      </c>
      <c r="B1020" s="218" t="s">
        <v>315</v>
      </c>
      <c r="C1020" s="306"/>
      <c r="D1020" s="176"/>
      <c r="E1020" s="176"/>
      <c r="F1020" s="176">
        <f t="shared" si="29"/>
        <v>0</v>
      </c>
    </row>
    <row r="1021" spans="1:6">
      <c r="A1021" s="217">
        <v>222502</v>
      </c>
      <c r="B1021" s="218" t="s">
        <v>316</v>
      </c>
      <c r="C1021" s="306"/>
      <c r="D1021" s="176"/>
      <c r="E1021" s="176"/>
      <c r="F1021" s="176">
        <f t="shared" si="29"/>
        <v>0</v>
      </c>
    </row>
    <row r="1022" spans="1:6">
      <c r="A1022" s="217">
        <v>222503</v>
      </c>
      <c r="B1022" s="218" t="s">
        <v>317</v>
      </c>
      <c r="C1022" s="306"/>
      <c r="D1022" s="176"/>
      <c r="E1022" s="176"/>
      <c r="F1022" s="176">
        <f t="shared" si="29"/>
        <v>0</v>
      </c>
    </row>
    <row r="1023" spans="1:6">
      <c r="A1023" s="217">
        <v>222504</v>
      </c>
      <c r="B1023" s="218" t="s">
        <v>318</v>
      </c>
      <c r="C1023" s="306"/>
      <c r="D1023" s="176"/>
      <c r="E1023" s="176"/>
      <c r="F1023" s="176">
        <f t="shared" si="29"/>
        <v>0</v>
      </c>
    </row>
    <row r="1024" spans="1:6">
      <c r="A1024" s="246">
        <v>2231</v>
      </c>
      <c r="B1024" s="247" t="s">
        <v>21</v>
      </c>
      <c r="C1024" s="306"/>
      <c r="D1024" s="283">
        <f>SUM(D1025:D1027)</f>
        <v>0</v>
      </c>
      <c r="E1024" s="283">
        <f>SUM(E1025:E1027)</f>
        <v>0</v>
      </c>
      <c r="F1024" s="283">
        <f t="shared" si="29"/>
        <v>0</v>
      </c>
    </row>
    <row r="1025" spans="1:6">
      <c r="A1025" s="217">
        <v>223101</v>
      </c>
      <c r="B1025" s="218" t="s">
        <v>319</v>
      </c>
      <c r="C1025" s="306"/>
      <c r="D1025" s="177"/>
      <c r="E1025" s="177"/>
      <c r="F1025" s="173">
        <f t="shared" si="29"/>
        <v>0</v>
      </c>
    </row>
    <row r="1026" spans="1:6">
      <c r="A1026" s="217">
        <v>223102</v>
      </c>
      <c r="B1026" s="218" t="s">
        <v>22</v>
      </c>
      <c r="C1026" s="306"/>
      <c r="D1026" s="177"/>
      <c r="E1026" s="177"/>
      <c r="F1026" s="173">
        <f t="shared" si="29"/>
        <v>0</v>
      </c>
    </row>
    <row r="1027" spans="1:6">
      <c r="A1027" s="217">
        <v>223103</v>
      </c>
      <c r="B1027" s="218" t="s">
        <v>340</v>
      </c>
      <c r="C1027" s="306"/>
      <c r="D1027" s="176"/>
      <c r="E1027" s="173"/>
      <c r="F1027" s="173">
        <f t="shared" si="29"/>
        <v>0</v>
      </c>
    </row>
    <row r="1028" spans="1:6">
      <c r="A1028" s="246">
        <v>2244</v>
      </c>
      <c r="B1028" s="247" t="s">
        <v>321</v>
      </c>
      <c r="C1028" s="306"/>
      <c r="D1028" s="283">
        <f>SUM(D1029:D1030)</f>
        <v>0</v>
      </c>
      <c r="E1028" s="283">
        <f>SUM(E1029:E1030)</f>
        <v>0</v>
      </c>
      <c r="F1028" s="283">
        <f t="shared" si="29"/>
        <v>0</v>
      </c>
    </row>
    <row r="1029" spans="1:6">
      <c r="A1029" s="217">
        <v>224401</v>
      </c>
      <c r="B1029" s="218" t="s">
        <v>344</v>
      </c>
      <c r="C1029" s="306"/>
      <c r="D1029" s="177"/>
      <c r="E1029" s="177"/>
      <c r="F1029" s="177">
        <f t="shared" si="29"/>
        <v>0</v>
      </c>
    </row>
    <row r="1030" spans="1:6">
      <c r="A1030" s="217">
        <v>224402</v>
      </c>
      <c r="B1030" s="218" t="s">
        <v>323</v>
      </c>
      <c r="C1030" s="306"/>
      <c r="D1030" s="177"/>
      <c r="E1030" s="177"/>
      <c r="F1030" s="177">
        <f t="shared" si="29"/>
        <v>0</v>
      </c>
    </row>
    <row r="1031" spans="1:6">
      <c r="A1031" s="246">
        <v>2281</v>
      </c>
      <c r="B1031" s="247" t="s">
        <v>13</v>
      </c>
      <c r="C1031" s="306"/>
      <c r="D1031" s="283">
        <f>D1032</f>
        <v>0</v>
      </c>
      <c r="E1031" s="283">
        <f>E1032</f>
        <v>0</v>
      </c>
      <c r="F1031" s="283">
        <f t="shared" si="29"/>
        <v>0</v>
      </c>
    </row>
    <row r="1032" spans="1:6">
      <c r="A1032" s="217">
        <v>228101</v>
      </c>
      <c r="B1032" s="218" t="s">
        <v>325</v>
      </c>
      <c r="C1032" s="306"/>
      <c r="D1032" s="177"/>
      <c r="E1032" s="173"/>
      <c r="F1032" s="173">
        <f t="shared" si="29"/>
        <v>0</v>
      </c>
    </row>
    <row r="1033" spans="1:6" ht="55.75">
      <c r="A1033" s="296">
        <v>30701</v>
      </c>
      <c r="B1033" s="297" t="s">
        <v>296</v>
      </c>
      <c r="C1033" s="306"/>
      <c r="D1033" s="328" t="s">
        <v>261</v>
      </c>
      <c r="E1033" s="328" t="s">
        <v>358</v>
      </c>
      <c r="F1033" s="328" t="s">
        <v>363</v>
      </c>
    </row>
    <row r="1034" spans="1:6">
      <c r="A1034" s="280" t="s">
        <v>5</v>
      </c>
      <c r="B1034" s="281" t="s">
        <v>65</v>
      </c>
      <c r="C1034" s="306"/>
      <c r="D1034" s="343">
        <f>D1035+D1046</f>
        <v>0</v>
      </c>
      <c r="E1034" s="343">
        <f>E1035+E1046</f>
        <v>0</v>
      </c>
      <c r="F1034" s="343">
        <f>E1034/12</f>
        <v>0</v>
      </c>
    </row>
    <row r="1035" spans="1:6">
      <c r="A1035" s="298">
        <v>21</v>
      </c>
      <c r="B1035" s="299" t="s">
        <v>6</v>
      </c>
      <c r="C1035" s="306"/>
      <c r="D1035" s="344">
        <f>D1036</f>
        <v>0</v>
      </c>
      <c r="E1035" s="344">
        <f>E1036</f>
        <v>0</v>
      </c>
      <c r="F1035" s="344">
        <f t="shared" ref="F1035:F1079" si="30">E1035/12</f>
        <v>0</v>
      </c>
    </row>
    <row r="1036" spans="1:6">
      <c r="A1036" s="301">
        <v>211</v>
      </c>
      <c r="B1036" s="302" t="s">
        <v>7</v>
      </c>
      <c r="C1036" s="306"/>
      <c r="D1036" s="345">
        <f>D1037+D1040+D1044</f>
        <v>0</v>
      </c>
      <c r="E1036" s="345">
        <f>E1037+E1040+E1044</f>
        <v>0</v>
      </c>
      <c r="F1036" s="345">
        <f t="shared" si="30"/>
        <v>0</v>
      </c>
    </row>
    <row r="1037" spans="1:6">
      <c r="A1037" s="230">
        <v>2111</v>
      </c>
      <c r="B1037" s="231" t="s">
        <v>8</v>
      </c>
      <c r="C1037" s="306"/>
      <c r="D1037" s="346">
        <f>SUM(D1038:D1039)</f>
        <v>0</v>
      </c>
      <c r="E1037" s="346">
        <f>SUM(E1038:E1039)</f>
        <v>0</v>
      </c>
      <c r="F1037" s="346">
        <f t="shared" si="30"/>
        <v>0</v>
      </c>
    </row>
    <row r="1038" spans="1:6">
      <c r="A1038" s="232">
        <v>211101</v>
      </c>
      <c r="B1038" s="233" t="s">
        <v>9</v>
      </c>
      <c r="C1038" s="306"/>
      <c r="D1038" s="220"/>
      <c r="E1038" s="174"/>
      <c r="F1038" s="174">
        <f t="shared" si="30"/>
        <v>0</v>
      </c>
    </row>
    <row r="1039" spans="1:6">
      <c r="A1039" s="232">
        <v>211106</v>
      </c>
      <c r="B1039" s="233" t="s">
        <v>33</v>
      </c>
      <c r="C1039" s="306"/>
      <c r="D1039" s="220"/>
      <c r="E1039" s="174"/>
      <c r="F1039" s="174">
        <f t="shared" si="30"/>
        <v>0</v>
      </c>
    </row>
    <row r="1040" spans="1:6">
      <c r="A1040" s="230">
        <v>2113</v>
      </c>
      <c r="B1040" s="231" t="s">
        <v>10</v>
      </c>
      <c r="C1040" s="306"/>
      <c r="D1040" s="346">
        <f>SUM(D1041:D1043)</f>
        <v>0</v>
      </c>
      <c r="E1040" s="346">
        <f>SUM(E1041:E1043)</f>
        <v>0</v>
      </c>
      <c r="F1040" s="346">
        <f t="shared" si="30"/>
        <v>0</v>
      </c>
    </row>
    <row r="1041" spans="1:6">
      <c r="A1041" s="232">
        <v>211301</v>
      </c>
      <c r="B1041" s="233" t="s">
        <v>11</v>
      </c>
      <c r="C1041" s="306"/>
      <c r="D1041" s="220"/>
      <c r="E1041" s="220"/>
      <c r="F1041" s="173">
        <f t="shared" si="30"/>
        <v>0</v>
      </c>
    </row>
    <row r="1042" spans="1:6">
      <c r="A1042" s="232">
        <v>211306</v>
      </c>
      <c r="B1042" s="233" t="s">
        <v>34</v>
      </c>
      <c r="C1042" s="306"/>
      <c r="D1042" s="220"/>
      <c r="E1042" s="173"/>
      <c r="F1042" s="173">
        <f t="shared" si="30"/>
        <v>0</v>
      </c>
    </row>
    <row r="1043" spans="1:6">
      <c r="A1043" s="232">
        <v>211308</v>
      </c>
      <c r="B1043" s="233" t="s">
        <v>12</v>
      </c>
      <c r="C1043" s="306"/>
      <c r="D1043" s="220"/>
      <c r="E1043" s="173"/>
      <c r="F1043" s="173">
        <f t="shared" si="30"/>
        <v>0</v>
      </c>
    </row>
    <row r="1044" spans="1:6">
      <c r="A1044" s="230">
        <v>2115</v>
      </c>
      <c r="B1044" s="231" t="s">
        <v>13</v>
      </c>
      <c r="C1044" s="306"/>
      <c r="D1044" s="346">
        <f>D1045</f>
        <v>0</v>
      </c>
      <c r="E1044" s="346">
        <f>E1045</f>
        <v>0</v>
      </c>
      <c r="F1044" s="346">
        <f t="shared" si="30"/>
        <v>0</v>
      </c>
    </row>
    <row r="1045" spans="1:6">
      <c r="A1045" s="232">
        <v>211501</v>
      </c>
      <c r="B1045" s="233" t="s">
        <v>14</v>
      </c>
      <c r="C1045" s="306"/>
      <c r="D1045" s="220"/>
      <c r="E1045" s="220"/>
      <c r="F1045" s="220">
        <f t="shared" si="30"/>
        <v>0</v>
      </c>
    </row>
    <row r="1046" spans="1:6">
      <c r="A1046" s="298">
        <v>22</v>
      </c>
      <c r="B1046" s="299" t="s">
        <v>15</v>
      </c>
      <c r="C1046" s="306"/>
      <c r="D1046" s="344">
        <f>D1047</f>
        <v>0</v>
      </c>
      <c r="E1046" s="344">
        <f>E1047</f>
        <v>0</v>
      </c>
      <c r="F1046" s="344">
        <f t="shared" si="30"/>
        <v>0</v>
      </c>
    </row>
    <row r="1047" spans="1:6">
      <c r="A1047" s="301">
        <v>221</v>
      </c>
      <c r="B1047" s="302" t="s">
        <v>16</v>
      </c>
      <c r="C1047" s="306"/>
      <c r="D1047" s="345">
        <f>D1048+D1052+D1055+D1058+D1061+D1066+D1071+D1075+D1078</f>
        <v>0</v>
      </c>
      <c r="E1047" s="345">
        <f>E1048+E1052+E1055+E1058+E1061+E1066+E1071+E1075+E1078</f>
        <v>0</v>
      </c>
      <c r="F1047" s="345">
        <f t="shared" si="30"/>
        <v>0</v>
      </c>
    </row>
    <row r="1048" spans="1:6">
      <c r="A1048" s="74">
        <v>2211</v>
      </c>
      <c r="B1048" s="194" t="s">
        <v>304</v>
      </c>
      <c r="C1048" s="306"/>
      <c r="D1048" s="346">
        <f>SUM(D1049:D1051)</f>
        <v>0</v>
      </c>
      <c r="E1048" s="346">
        <f>SUM(E1049:E1051)</f>
        <v>0</v>
      </c>
      <c r="F1048" s="346">
        <f t="shared" si="30"/>
        <v>0</v>
      </c>
    </row>
    <row r="1049" spans="1:6">
      <c r="A1049" s="268">
        <v>221101</v>
      </c>
      <c r="B1049" s="269" t="s">
        <v>305</v>
      </c>
      <c r="C1049" s="306"/>
      <c r="D1049" s="220"/>
      <c r="E1049" s="220"/>
      <c r="F1049" s="220">
        <f>E1049/12</f>
        <v>0</v>
      </c>
    </row>
    <row r="1050" spans="1:6">
      <c r="A1050" s="268">
        <v>221102</v>
      </c>
      <c r="B1050" s="269" t="s">
        <v>30</v>
      </c>
      <c r="C1050" s="306"/>
      <c r="D1050" s="220"/>
      <c r="E1050" s="220"/>
      <c r="F1050" s="220">
        <f t="shared" si="30"/>
        <v>0</v>
      </c>
    </row>
    <row r="1051" spans="1:6">
      <c r="A1051" s="217">
        <v>221103</v>
      </c>
      <c r="B1051" s="218" t="s">
        <v>306</v>
      </c>
      <c r="C1051" s="306"/>
      <c r="D1051" s="220"/>
      <c r="E1051" s="220"/>
      <c r="F1051" s="220">
        <f t="shared" si="30"/>
        <v>0</v>
      </c>
    </row>
    <row r="1052" spans="1:6">
      <c r="A1052" s="246">
        <v>2221</v>
      </c>
      <c r="B1052" s="247" t="s">
        <v>17</v>
      </c>
      <c r="C1052" s="306"/>
      <c r="D1052" s="346">
        <f>SUM(D1053:D1054)</f>
        <v>0</v>
      </c>
      <c r="E1052" s="52">
        <f>SUM(E1053:E1054)</f>
        <v>0</v>
      </c>
      <c r="F1052" s="52">
        <f t="shared" si="30"/>
        <v>0</v>
      </c>
    </row>
    <row r="1053" spans="1:6">
      <c r="A1053" s="217">
        <v>222101</v>
      </c>
      <c r="B1053" s="218" t="s">
        <v>18</v>
      </c>
      <c r="C1053" s="306"/>
      <c r="D1053" s="220"/>
      <c r="E1053" s="173"/>
      <c r="F1053" s="173">
        <f t="shared" si="30"/>
        <v>0</v>
      </c>
    </row>
    <row r="1054" spans="1:6">
      <c r="A1054" s="217">
        <v>222102</v>
      </c>
      <c r="B1054" s="218" t="s">
        <v>19</v>
      </c>
      <c r="C1054" s="306"/>
      <c r="D1054" s="220"/>
      <c r="E1054" s="173"/>
      <c r="F1054" s="173">
        <f t="shared" si="30"/>
        <v>0</v>
      </c>
    </row>
    <row r="1055" spans="1:6">
      <c r="A1055" s="74">
        <v>2222</v>
      </c>
      <c r="B1055" s="194" t="s">
        <v>20</v>
      </c>
      <c r="C1055" s="306"/>
      <c r="D1055" s="346">
        <f>SUM(D1056:D1057)</f>
        <v>0</v>
      </c>
      <c r="E1055" s="346">
        <f>SUM(E1056:E1057)</f>
        <v>0</v>
      </c>
      <c r="F1055" s="346">
        <f t="shared" si="30"/>
        <v>0</v>
      </c>
    </row>
    <row r="1056" spans="1:6">
      <c r="A1056" s="217">
        <v>222201</v>
      </c>
      <c r="B1056" s="218" t="s">
        <v>309</v>
      </c>
      <c r="C1056" s="306"/>
      <c r="D1056" s="220"/>
      <c r="E1056" s="220"/>
      <c r="F1056" s="220">
        <f t="shared" si="30"/>
        <v>0</v>
      </c>
    </row>
    <row r="1057" spans="1:6">
      <c r="A1057" s="217">
        <v>222202</v>
      </c>
      <c r="B1057" s="218" t="s">
        <v>328</v>
      </c>
      <c r="C1057" s="306"/>
      <c r="D1057" s="220"/>
      <c r="E1057" s="173"/>
      <c r="F1057" s="220">
        <f t="shared" si="30"/>
        <v>0</v>
      </c>
    </row>
    <row r="1058" spans="1:6">
      <c r="A1058" s="246">
        <v>2223</v>
      </c>
      <c r="B1058" s="247" t="s">
        <v>23</v>
      </c>
      <c r="C1058" s="306"/>
      <c r="D1058" s="346">
        <f>SUM(D1059:D1060)</f>
        <v>0</v>
      </c>
      <c r="E1058" s="346">
        <f>SUM(E1059:E1060)</f>
        <v>0</v>
      </c>
      <c r="F1058" s="346">
        <f t="shared" si="30"/>
        <v>0</v>
      </c>
    </row>
    <row r="1059" spans="1:6">
      <c r="A1059" s="217">
        <v>222301</v>
      </c>
      <c r="B1059" s="218" t="s">
        <v>310</v>
      </c>
      <c r="C1059" s="306"/>
      <c r="D1059" s="220"/>
      <c r="E1059" s="220"/>
      <c r="F1059" s="220">
        <f t="shared" si="30"/>
        <v>0</v>
      </c>
    </row>
    <row r="1060" spans="1:6">
      <c r="A1060" s="217">
        <v>222302</v>
      </c>
      <c r="B1060" s="218" t="s">
        <v>24</v>
      </c>
      <c r="C1060" s="306"/>
      <c r="D1060" s="220"/>
      <c r="E1060" s="173"/>
      <c r="F1060" s="220">
        <f t="shared" si="30"/>
        <v>0</v>
      </c>
    </row>
    <row r="1061" spans="1:6">
      <c r="A1061" s="246">
        <v>2224</v>
      </c>
      <c r="B1061" s="194" t="s">
        <v>330</v>
      </c>
      <c r="C1061" s="306"/>
      <c r="D1061" s="346">
        <f>SUM(D1062:D1065)</f>
        <v>0</v>
      </c>
      <c r="E1061" s="346">
        <f>SUM(E1062:E1065)</f>
        <v>0</v>
      </c>
      <c r="F1061" s="346">
        <f t="shared" si="30"/>
        <v>0</v>
      </c>
    </row>
    <row r="1062" spans="1:6">
      <c r="A1062" s="217">
        <v>222401</v>
      </c>
      <c r="B1062" s="218" t="s">
        <v>343</v>
      </c>
      <c r="C1062" s="306"/>
      <c r="D1062" s="220"/>
      <c r="E1062" s="220"/>
      <c r="F1062" s="220">
        <f t="shared" si="30"/>
        <v>0</v>
      </c>
    </row>
    <row r="1063" spans="1:6">
      <c r="A1063" s="217">
        <v>222403</v>
      </c>
      <c r="B1063" s="218" t="s">
        <v>312</v>
      </c>
      <c r="C1063" s="306"/>
      <c r="D1063" s="220"/>
      <c r="E1063" s="220"/>
      <c r="F1063" s="220">
        <f t="shared" si="30"/>
        <v>0</v>
      </c>
    </row>
    <row r="1064" spans="1:6">
      <c r="A1064" s="217">
        <v>222404</v>
      </c>
      <c r="B1064" s="218" t="s">
        <v>313</v>
      </c>
      <c r="C1064" s="306"/>
      <c r="D1064" s="220"/>
      <c r="E1064" s="220"/>
      <c r="F1064" s="220">
        <f t="shared" si="30"/>
        <v>0</v>
      </c>
    </row>
    <row r="1065" spans="1:6">
      <c r="A1065" s="217">
        <v>222405</v>
      </c>
      <c r="B1065" s="218" t="s">
        <v>314</v>
      </c>
      <c r="C1065" s="306"/>
      <c r="D1065" s="220"/>
      <c r="E1065" s="220"/>
      <c r="F1065" s="220">
        <f t="shared" si="30"/>
        <v>0</v>
      </c>
    </row>
    <row r="1066" spans="1:6">
      <c r="A1066" s="74">
        <v>2225</v>
      </c>
      <c r="B1066" s="194" t="s">
        <v>331</v>
      </c>
      <c r="C1066" s="306"/>
      <c r="D1066" s="346">
        <f>SUM(D1067:D1070)</f>
        <v>0</v>
      </c>
      <c r="E1066" s="346">
        <f>SUM(E1067:E1070)</f>
        <v>0</v>
      </c>
      <c r="F1066" s="346">
        <f t="shared" si="30"/>
        <v>0</v>
      </c>
    </row>
    <row r="1067" spans="1:6">
      <c r="A1067" s="217">
        <v>222501</v>
      </c>
      <c r="B1067" s="218" t="s">
        <v>315</v>
      </c>
      <c r="C1067" s="306"/>
      <c r="D1067" s="220"/>
      <c r="E1067" s="220"/>
      <c r="F1067" s="220">
        <f t="shared" si="30"/>
        <v>0</v>
      </c>
    </row>
    <row r="1068" spans="1:6">
      <c r="A1068" s="217">
        <v>222502</v>
      </c>
      <c r="B1068" s="218" t="s">
        <v>316</v>
      </c>
      <c r="C1068" s="306"/>
      <c r="D1068" s="220"/>
      <c r="E1068" s="220"/>
      <c r="F1068" s="220">
        <f t="shared" si="30"/>
        <v>0</v>
      </c>
    </row>
    <row r="1069" spans="1:6">
      <c r="A1069" s="217">
        <v>222503</v>
      </c>
      <c r="B1069" s="218" t="s">
        <v>317</v>
      </c>
      <c r="C1069" s="306"/>
      <c r="D1069" s="220"/>
      <c r="E1069" s="220"/>
      <c r="F1069" s="220">
        <f t="shared" si="30"/>
        <v>0</v>
      </c>
    </row>
    <row r="1070" spans="1:6">
      <c r="A1070" s="217">
        <v>222504</v>
      </c>
      <c r="B1070" s="218" t="s">
        <v>318</v>
      </c>
      <c r="C1070" s="306"/>
      <c r="D1070" s="220"/>
      <c r="E1070" s="220"/>
      <c r="F1070" s="220">
        <f t="shared" si="30"/>
        <v>0</v>
      </c>
    </row>
    <row r="1071" spans="1:6">
      <c r="A1071" s="246">
        <v>2231</v>
      </c>
      <c r="B1071" s="247" t="s">
        <v>21</v>
      </c>
      <c r="C1071" s="306"/>
      <c r="D1071" s="346">
        <f>SUM(D1072:D1074)</f>
        <v>0</v>
      </c>
      <c r="E1071" s="346">
        <f>SUM(E1072:E1074)</f>
        <v>0</v>
      </c>
      <c r="F1071" s="346">
        <f t="shared" si="30"/>
        <v>0</v>
      </c>
    </row>
    <row r="1072" spans="1:6">
      <c r="A1072" s="217">
        <v>223101</v>
      </c>
      <c r="B1072" s="218" t="s">
        <v>319</v>
      </c>
      <c r="C1072" s="306"/>
      <c r="D1072" s="220"/>
      <c r="E1072" s="173"/>
      <c r="F1072" s="173">
        <f t="shared" si="30"/>
        <v>0</v>
      </c>
    </row>
    <row r="1073" spans="1:6">
      <c r="A1073" s="217">
        <v>223102</v>
      </c>
      <c r="B1073" s="218" t="s">
        <v>22</v>
      </c>
      <c r="C1073" s="306"/>
      <c r="D1073" s="220"/>
      <c r="E1073" s="173"/>
      <c r="F1073" s="173">
        <f t="shared" si="30"/>
        <v>0</v>
      </c>
    </row>
    <row r="1074" spans="1:6">
      <c r="A1074" s="217">
        <v>223103</v>
      </c>
      <c r="B1074" s="218" t="s">
        <v>340</v>
      </c>
      <c r="C1074" s="306"/>
      <c r="D1074" s="220"/>
      <c r="E1074" s="173"/>
      <c r="F1074" s="173">
        <f t="shared" si="30"/>
        <v>0</v>
      </c>
    </row>
    <row r="1075" spans="1:6">
      <c r="A1075" s="246">
        <v>2244</v>
      </c>
      <c r="B1075" s="247" t="s">
        <v>321</v>
      </c>
      <c r="C1075" s="306"/>
      <c r="D1075" s="346">
        <f>SUM(D1076:D1077)</f>
        <v>0</v>
      </c>
      <c r="E1075" s="346">
        <f>SUM(E1076:E1077)</f>
        <v>0</v>
      </c>
      <c r="F1075" s="346">
        <f t="shared" si="30"/>
        <v>0</v>
      </c>
    </row>
    <row r="1076" spans="1:6">
      <c r="A1076" s="217">
        <v>224401</v>
      </c>
      <c r="B1076" s="218" t="s">
        <v>344</v>
      </c>
      <c r="C1076" s="306"/>
      <c r="D1076" s="220"/>
      <c r="E1076" s="220"/>
      <c r="F1076" s="174">
        <f t="shared" si="30"/>
        <v>0</v>
      </c>
    </row>
    <row r="1077" spans="1:6">
      <c r="A1077" s="217">
        <v>224402</v>
      </c>
      <c r="B1077" s="218" t="s">
        <v>323</v>
      </c>
      <c r="C1077" s="306"/>
      <c r="D1077" s="220"/>
      <c r="E1077" s="174"/>
      <c r="F1077" s="174">
        <f t="shared" si="30"/>
        <v>0</v>
      </c>
    </row>
    <row r="1078" spans="1:6">
      <c r="A1078" s="246">
        <v>2281</v>
      </c>
      <c r="B1078" s="247" t="s">
        <v>13</v>
      </c>
      <c r="C1078" s="306"/>
      <c r="D1078" s="346">
        <f>D1079</f>
        <v>0</v>
      </c>
      <c r="E1078" s="346">
        <f>E1079</f>
        <v>0</v>
      </c>
      <c r="F1078" s="346">
        <f t="shared" si="30"/>
        <v>0</v>
      </c>
    </row>
    <row r="1079" spans="1:6">
      <c r="A1079" s="217">
        <v>228101</v>
      </c>
      <c r="B1079" s="218" t="s">
        <v>325</v>
      </c>
      <c r="C1079" s="306"/>
      <c r="D1079" s="220"/>
      <c r="E1079" s="174"/>
      <c r="F1079" s="174">
        <f t="shared" si="30"/>
        <v>0</v>
      </c>
    </row>
    <row r="1080" spans="1:6" ht="55.75">
      <c r="A1080" s="225">
        <v>30801</v>
      </c>
      <c r="B1080" s="255" t="s">
        <v>297</v>
      </c>
      <c r="C1080" s="306"/>
      <c r="D1080" s="328" t="s">
        <v>1</v>
      </c>
      <c r="E1080" s="328" t="s">
        <v>261</v>
      </c>
      <c r="F1080" s="328" t="s">
        <v>279</v>
      </c>
    </row>
    <row r="1081" spans="1:6">
      <c r="A1081" s="234" t="s">
        <v>5</v>
      </c>
      <c r="B1081" s="235" t="s">
        <v>65</v>
      </c>
      <c r="C1081" s="306"/>
      <c r="D1081" s="367">
        <f>D1082+D1093</f>
        <v>0</v>
      </c>
      <c r="E1081" s="367">
        <f>E1082+E1093</f>
        <v>0</v>
      </c>
      <c r="F1081" s="367">
        <f>E1081/12</f>
        <v>0</v>
      </c>
    </row>
    <row r="1082" spans="1:6">
      <c r="A1082" s="228">
        <v>21</v>
      </c>
      <c r="B1082" s="229" t="s">
        <v>6</v>
      </c>
      <c r="C1082" s="306"/>
      <c r="D1082" s="347">
        <f>D1083</f>
        <v>0</v>
      </c>
      <c r="E1082" s="347">
        <f>E1083</f>
        <v>0</v>
      </c>
      <c r="F1082" s="347">
        <f t="shared" ref="F1082:F1126" si="31">E1082/12</f>
        <v>0</v>
      </c>
    </row>
    <row r="1083" spans="1:6">
      <c r="A1083" s="85">
        <v>211</v>
      </c>
      <c r="B1083" s="86" t="s">
        <v>7</v>
      </c>
      <c r="C1083" s="306"/>
      <c r="D1083" s="348">
        <f>D1084+D1087+D1091</f>
        <v>0</v>
      </c>
      <c r="E1083" s="348">
        <f>E1084+E1087+E1091</f>
        <v>0</v>
      </c>
      <c r="F1083" s="348">
        <f t="shared" si="31"/>
        <v>0</v>
      </c>
    </row>
    <row r="1084" spans="1:6">
      <c r="A1084" s="74">
        <v>2111</v>
      </c>
      <c r="B1084" s="194" t="s">
        <v>8</v>
      </c>
      <c r="C1084" s="306"/>
      <c r="D1084" s="349"/>
      <c r="E1084" s="349">
        <f>SUM(E1085:E1086)</f>
        <v>0</v>
      </c>
      <c r="F1084" s="349">
        <f t="shared" si="31"/>
        <v>0</v>
      </c>
    </row>
    <row r="1085" spans="1:6">
      <c r="A1085" s="217">
        <v>211101</v>
      </c>
      <c r="B1085" s="218" t="s">
        <v>9</v>
      </c>
      <c r="C1085" s="306"/>
      <c r="D1085" s="219"/>
      <c r="E1085" s="173"/>
      <c r="F1085" s="173">
        <f t="shared" si="31"/>
        <v>0</v>
      </c>
    </row>
    <row r="1086" spans="1:6">
      <c r="A1086" s="217">
        <v>211106</v>
      </c>
      <c r="B1086" s="218" t="s">
        <v>33</v>
      </c>
      <c r="C1086" s="306"/>
      <c r="D1086" s="219"/>
      <c r="E1086" s="219"/>
      <c r="F1086" s="173">
        <f t="shared" si="31"/>
        <v>0</v>
      </c>
    </row>
    <row r="1087" spans="1:6">
      <c r="A1087" s="74">
        <v>2113</v>
      </c>
      <c r="B1087" s="194" t="s">
        <v>10</v>
      </c>
      <c r="C1087" s="306"/>
      <c r="D1087" s="349">
        <f>SUM(D1088:D1090)</f>
        <v>0</v>
      </c>
      <c r="E1087" s="349">
        <f>SUM(E1088:E1090)</f>
        <v>0</v>
      </c>
      <c r="F1087" s="349">
        <f t="shared" si="31"/>
        <v>0</v>
      </c>
    </row>
    <row r="1088" spans="1:6">
      <c r="A1088" s="217">
        <v>211301</v>
      </c>
      <c r="B1088" s="218" t="s">
        <v>11</v>
      </c>
      <c r="C1088" s="306"/>
      <c r="D1088" s="219"/>
      <c r="E1088" s="173"/>
      <c r="F1088" s="173">
        <f t="shared" si="31"/>
        <v>0</v>
      </c>
    </row>
    <row r="1089" spans="1:6">
      <c r="A1089" s="217">
        <v>211306</v>
      </c>
      <c r="B1089" s="218" t="s">
        <v>34</v>
      </c>
      <c r="C1089" s="306"/>
      <c r="D1089" s="219"/>
      <c r="E1089" s="175"/>
      <c r="F1089" s="173">
        <f t="shared" si="31"/>
        <v>0</v>
      </c>
    </row>
    <row r="1090" spans="1:6">
      <c r="A1090" s="217">
        <v>211308</v>
      </c>
      <c r="B1090" s="218" t="s">
        <v>12</v>
      </c>
      <c r="C1090" s="306"/>
      <c r="D1090" s="219"/>
      <c r="E1090" s="219"/>
      <c r="F1090" s="173">
        <f t="shared" si="31"/>
        <v>0</v>
      </c>
    </row>
    <row r="1091" spans="1:6">
      <c r="A1091" s="74">
        <v>2115</v>
      </c>
      <c r="B1091" s="194" t="s">
        <v>13</v>
      </c>
      <c r="C1091" s="306"/>
      <c r="D1091" s="349">
        <f>D1092</f>
        <v>0</v>
      </c>
      <c r="E1091" s="349">
        <f>E1092</f>
        <v>0</v>
      </c>
      <c r="F1091" s="349">
        <f t="shared" si="31"/>
        <v>0</v>
      </c>
    </row>
    <row r="1092" spans="1:6">
      <c r="A1092" s="217">
        <v>211501</v>
      </c>
      <c r="B1092" s="218" t="s">
        <v>14</v>
      </c>
      <c r="C1092" s="306"/>
      <c r="D1092" s="219"/>
      <c r="E1092" s="219"/>
      <c r="F1092" s="219">
        <f t="shared" si="31"/>
        <v>0</v>
      </c>
    </row>
    <row r="1093" spans="1:6">
      <c r="A1093" s="228">
        <v>22</v>
      </c>
      <c r="B1093" s="229" t="s">
        <v>15</v>
      </c>
      <c r="C1093" s="306"/>
      <c r="D1093" s="347">
        <f>D1094</f>
        <v>0</v>
      </c>
      <c r="E1093" s="347">
        <f>E1094</f>
        <v>0</v>
      </c>
      <c r="F1093" s="347">
        <f t="shared" si="31"/>
        <v>0</v>
      </c>
    </row>
    <row r="1094" spans="1:6">
      <c r="A1094" s="85">
        <v>221</v>
      </c>
      <c r="B1094" s="86" t="s">
        <v>16</v>
      </c>
      <c r="C1094" s="306"/>
      <c r="D1094" s="348">
        <f>D1095+D1099+D1102+D1105+D1108+D1113+D1118+D1122+D1125</f>
        <v>0</v>
      </c>
      <c r="E1094" s="348">
        <f>E1095+E1099+E1102+E1105+E1108+E1113+E1118+E1122+E1125</f>
        <v>0</v>
      </c>
      <c r="F1094" s="348">
        <f t="shared" si="31"/>
        <v>0</v>
      </c>
    </row>
    <row r="1095" spans="1:6">
      <c r="A1095" s="74">
        <v>2211</v>
      </c>
      <c r="B1095" s="194" t="s">
        <v>304</v>
      </c>
      <c r="C1095" s="306"/>
      <c r="D1095" s="349">
        <f>SUM(D1096:D1098)</f>
        <v>0</v>
      </c>
      <c r="E1095" s="349">
        <f>SUM(E1096:E1098)</f>
        <v>0</v>
      </c>
      <c r="F1095" s="349">
        <f t="shared" si="31"/>
        <v>0</v>
      </c>
    </row>
    <row r="1096" spans="1:6">
      <c r="A1096" s="268">
        <v>221101</v>
      </c>
      <c r="B1096" s="269" t="s">
        <v>305</v>
      </c>
      <c r="C1096" s="306"/>
      <c r="D1096" s="219"/>
      <c r="E1096" s="173"/>
      <c r="F1096" s="173">
        <f t="shared" si="31"/>
        <v>0</v>
      </c>
    </row>
    <row r="1097" spans="1:6">
      <c r="A1097" s="268">
        <v>221102</v>
      </c>
      <c r="B1097" s="269" t="s">
        <v>30</v>
      </c>
      <c r="C1097" s="306"/>
      <c r="D1097" s="219"/>
      <c r="E1097" s="173"/>
      <c r="F1097" s="173">
        <f t="shared" si="31"/>
        <v>0</v>
      </c>
    </row>
    <row r="1098" spans="1:6">
      <c r="A1098" s="217">
        <v>221103</v>
      </c>
      <c r="B1098" s="218" t="s">
        <v>306</v>
      </c>
      <c r="C1098" s="306"/>
      <c r="D1098" s="219"/>
      <c r="E1098" s="173"/>
      <c r="F1098" s="173">
        <f t="shared" si="31"/>
        <v>0</v>
      </c>
    </row>
    <row r="1099" spans="1:6">
      <c r="A1099" s="246">
        <v>2221</v>
      </c>
      <c r="B1099" s="247" t="s">
        <v>17</v>
      </c>
      <c r="C1099" s="306"/>
      <c r="D1099" s="349">
        <f>SUM(D1100:D1101)</f>
        <v>0</v>
      </c>
      <c r="E1099" s="52">
        <f>SUM(E1100:E1101)</f>
        <v>0</v>
      </c>
      <c r="F1099" s="52">
        <f t="shared" si="31"/>
        <v>0</v>
      </c>
    </row>
    <row r="1100" spans="1:6">
      <c r="A1100" s="217">
        <v>222101</v>
      </c>
      <c r="B1100" s="218" t="s">
        <v>18</v>
      </c>
      <c r="C1100" s="306"/>
      <c r="D1100" s="219"/>
      <c r="E1100" s="219"/>
      <c r="F1100" s="219">
        <f t="shared" si="31"/>
        <v>0</v>
      </c>
    </row>
    <row r="1101" spans="1:6">
      <c r="A1101" s="217">
        <v>222102</v>
      </c>
      <c r="B1101" s="218" t="s">
        <v>19</v>
      </c>
      <c r="C1101" s="306"/>
      <c r="D1101" s="219"/>
      <c r="E1101" s="173"/>
      <c r="F1101" s="219">
        <f t="shared" si="31"/>
        <v>0</v>
      </c>
    </row>
    <row r="1102" spans="1:6">
      <c r="A1102" s="74">
        <v>2222</v>
      </c>
      <c r="B1102" s="194" t="s">
        <v>20</v>
      </c>
      <c r="C1102" s="306"/>
      <c r="D1102" s="349">
        <f>SUM(D1103:D1104)</f>
        <v>0</v>
      </c>
      <c r="E1102" s="52">
        <f>SUM(E1103:E1104)</f>
        <v>0</v>
      </c>
      <c r="F1102" s="52">
        <f t="shared" si="31"/>
        <v>0</v>
      </c>
    </row>
    <row r="1103" spans="1:6">
      <c r="A1103" s="217">
        <v>222201</v>
      </c>
      <c r="B1103" s="218" t="s">
        <v>309</v>
      </c>
      <c r="C1103" s="306"/>
      <c r="D1103" s="219"/>
      <c r="E1103" s="219"/>
      <c r="F1103" s="173">
        <f t="shared" si="31"/>
        <v>0</v>
      </c>
    </row>
    <row r="1104" spans="1:6">
      <c r="A1104" s="217">
        <v>222202</v>
      </c>
      <c r="B1104" s="218" t="s">
        <v>328</v>
      </c>
      <c r="C1104" s="306"/>
      <c r="D1104" s="219"/>
      <c r="E1104" s="173"/>
      <c r="F1104" s="173">
        <f t="shared" si="31"/>
        <v>0</v>
      </c>
    </row>
    <row r="1105" spans="1:6">
      <c r="A1105" s="246">
        <v>2223</v>
      </c>
      <c r="B1105" s="247" t="s">
        <v>23</v>
      </c>
      <c r="C1105" s="306"/>
      <c r="D1105" s="349">
        <f>SUM(D1106:D1107)</f>
        <v>0</v>
      </c>
      <c r="E1105" s="52">
        <f>SUM(E1106:E1107)</f>
        <v>0</v>
      </c>
      <c r="F1105" s="52">
        <f t="shared" si="31"/>
        <v>0</v>
      </c>
    </row>
    <row r="1106" spans="1:6">
      <c r="A1106" s="217">
        <v>222301</v>
      </c>
      <c r="B1106" s="218" t="s">
        <v>310</v>
      </c>
      <c r="C1106" s="306"/>
      <c r="D1106" s="219"/>
      <c r="E1106" s="173"/>
      <c r="F1106" s="173">
        <f t="shared" si="31"/>
        <v>0</v>
      </c>
    </row>
    <row r="1107" spans="1:6">
      <c r="A1107" s="217">
        <v>222302</v>
      </c>
      <c r="B1107" s="218" t="s">
        <v>24</v>
      </c>
      <c r="C1107" s="306"/>
      <c r="D1107" s="219"/>
      <c r="E1107" s="173"/>
      <c r="F1107" s="173">
        <f t="shared" si="31"/>
        <v>0</v>
      </c>
    </row>
    <row r="1108" spans="1:6">
      <c r="A1108" s="246">
        <v>2224</v>
      </c>
      <c r="B1108" s="194" t="s">
        <v>330</v>
      </c>
      <c r="C1108" s="306"/>
      <c r="D1108" s="349">
        <f>SUM(D1109:D1112)</f>
        <v>0</v>
      </c>
      <c r="E1108" s="349">
        <f>SUM(E1109:E1112)</f>
        <v>0</v>
      </c>
      <c r="F1108" s="349">
        <f t="shared" si="31"/>
        <v>0</v>
      </c>
    </row>
    <row r="1109" spans="1:6">
      <c r="A1109" s="217">
        <v>222401</v>
      </c>
      <c r="B1109" s="218" t="s">
        <v>343</v>
      </c>
      <c r="C1109" s="306"/>
      <c r="D1109" s="219"/>
      <c r="E1109" s="173"/>
      <c r="F1109" s="173">
        <f t="shared" si="31"/>
        <v>0</v>
      </c>
    </row>
    <row r="1110" spans="1:6">
      <c r="A1110" s="217">
        <v>222403</v>
      </c>
      <c r="B1110" s="218" t="s">
        <v>312</v>
      </c>
      <c r="C1110" s="306"/>
      <c r="D1110" s="219"/>
      <c r="E1110" s="173"/>
      <c r="F1110" s="173">
        <f t="shared" si="31"/>
        <v>0</v>
      </c>
    </row>
    <row r="1111" spans="1:6">
      <c r="A1111" s="217">
        <v>222404</v>
      </c>
      <c r="B1111" s="218" t="s">
        <v>313</v>
      </c>
      <c r="C1111" s="306"/>
      <c r="D1111" s="219"/>
      <c r="E1111" s="173"/>
      <c r="F1111" s="173">
        <f t="shared" si="31"/>
        <v>0</v>
      </c>
    </row>
    <row r="1112" spans="1:6">
      <c r="A1112" s="217">
        <v>222405</v>
      </c>
      <c r="B1112" s="218" t="s">
        <v>314</v>
      </c>
      <c r="C1112" s="306"/>
      <c r="D1112" s="219"/>
      <c r="E1112" s="173"/>
      <c r="F1112" s="173">
        <f t="shared" si="31"/>
        <v>0</v>
      </c>
    </row>
    <row r="1113" spans="1:6">
      <c r="A1113" s="74">
        <v>2225</v>
      </c>
      <c r="B1113" s="194" t="s">
        <v>331</v>
      </c>
      <c r="C1113" s="306"/>
      <c r="D1113" s="349">
        <f>SUM(D1114:D1117)</f>
        <v>0</v>
      </c>
      <c r="E1113" s="52">
        <f>SUM(E1114:E1117)</f>
        <v>0</v>
      </c>
      <c r="F1113" s="52">
        <f t="shared" si="31"/>
        <v>0</v>
      </c>
    </row>
    <row r="1114" spans="1:6">
      <c r="A1114" s="217">
        <v>222501</v>
      </c>
      <c r="B1114" s="218" t="s">
        <v>315</v>
      </c>
      <c r="C1114" s="306"/>
      <c r="D1114" s="219"/>
      <c r="E1114" s="219"/>
      <c r="F1114" s="219">
        <f t="shared" si="31"/>
        <v>0</v>
      </c>
    </row>
    <row r="1115" spans="1:6">
      <c r="A1115" s="217">
        <v>222502</v>
      </c>
      <c r="B1115" s="218" t="s">
        <v>316</v>
      </c>
      <c r="C1115" s="306"/>
      <c r="D1115" s="219"/>
      <c r="E1115" s="219"/>
      <c r="F1115" s="219">
        <f t="shared" si="31"/>
        <v>0</v>
      </c>
    </row>
    <row r="1116" spans="1:6">
      <c r="A1116" s="217">
        <v>222503</v>
      </c>
      <c r="B1116" s="218" t="s">
        <v>317</v>
      </c>
      <c r="C1116" s="306"/>
      <c r="D1116" s="219"/>
      <c r="E1116" s="219"/>
      <c r="F1116" s="219">
        <f t="shared" si="31"/>
        <v>0</v>
      </c>
    </row>
    <row r="1117" spans="1:6">
      <c r="A1117" s="217">
        <v>222504</v>
      </c>
      <c r="B1117" s="218" t="s">
        <v>318</v>
      </c>
      <c r="C1117" s="306"/>
      <c r="D1117" s="219"/>
      <c r="E1117" s="219"/>
      <c r="F1117" s="219">
        <f t="shared" si="31"/>
        <v>0</v>
      </c>
    </row>
    <row r="1118" spans="1:6">
      <c r="A1118" s="246">
        <v>2231</v>
      </c>
      <c r="B1118" s="247" t="s">
        <v>21</v>
      </c>
      <c r="C1118" s="306"/>
      <c r="D1118" s="349">
        <f>SUM(D1119:D1121)</f>
        <v>0</v>
      </c>
      <c r="E1118" s="349">
        <f>SUM(E1119:E1121)</f>
        <v>0</v>
      </c>
      <c r="F1118" s="349">
        <f t="shared" si="31"/>
        <v>0</v>
      </c>
    </row>
    <row r="1119" spans="1:6">
      <c r="A1119" s="217">
        <v>223101</v>
      </c>
      <c r="B1119" s="218" t="s">
        <v>319</v>
      </c>
      <c r="C1119" s="306"/>
      <c r="D1119" s="219"/>
      <c r="E1119" s="174"/>
      <c r="F1119" s="174">
        <f t="shared" si="31"/>
        <v>0</v>
      </c>
    </row>
    <row r="1120" spans="1:6">
      <c r="A1120" s="217">
        <v>223102</v>
      </c>
      <c r="B1120" s="218" t="s">
        <v>22</v>
      </c>
      <c r="C1120" s="306"/>
      <c r="D1120" s="219"/>
      <c r="E1120" s="174"/>
      <c r="F1120" s="174">
        <f t="shared" si="31"/>
        <v>0</v>
      </c>
    </row>
    <row r="1121" spans="1:6">
      <c r="A1121" s="217">
        <v>223103</v>
      </c>
      <c r="B1121" s="218" t="s">
        <v>340</v>
      </c>
      <c r="C1121" s="306"/>
      <c r="D1121" s="219"/>
      <c r="E1121" s="174"/>
      <c r="F1121" s="174">
        <f t="shared" si="31"/>
        <v>0</v>
      </c>
    </row>
    <row r="1122" spans="1:6">
      <c r="A1122" s="246">
        <v>2244</v>
      </c>
      <c r="B1122" s="247" t="s">
        <v>321</v>
      </c>
      <c r="C1122" s="306"/>
      <c r="D1122" s="349">
        <f>SUM(D1123:D1124)</f>
        <v>0</v>
      </c>
      <c r="E1122" s="52">
        <f>SUM(E1123:E1124)</f>
        <v>0</v>
      </c>
      <c r="F1122" s="52">
        <f t="shared" si="31"/>
        <v>0</v>
      </c>
    </row>
    <row r="1123" spans="1:6">
      <c r="A1123" s="217">
        <v>224401</v>
      </c>
      <c r="B1123" s="218" t="s">
        <v>344</v>
      </c>
      <c r="C1123" s="306"/>
      <c r="D1123" s="219"/>
      <c r="E1123" s="173"/>
      <c r="F1123" s="173">
        <f t="shared" si="31"/>
        <v>0</v>
      </c>
    </row>
    <row r="1124" spans="1:6">
      <c r="A1124" s="217">
        <v>224402</v>
      </c>
      <c r="B1124" s="218" t="s">
        <v>323</v>
      </c>
      <c r="C1124" s="306"/>
      <c r="D1124" s="219"/>
      <c r="E1124" s="173"/>
      <c r="F1124" s="173">
        <f t="shared" si="31"/>
        <v>0</v>
      </c>
    </row>
    <row r="1125" spans="1:6">
      <c r="A1125" s="246">
        <v>2281</v>
      </c>
      <c r="B1125" s="247" t="s">
        <v>13</v>
      </c>
      <c r="C1125" s="306"/>
      <c r="D1125" s="349">
        <f>D1126</f>
        <v>0</v>
      </c>
      <c r="E1125" s="349">
        <f>E1126</f>
        <v>0</v>
      </c>
      <c r="F1125" s="349">
        <f t="shared" si="31"/>
        <v>0</v>
      </c>
    </row>
    <row r="1126" spans="1:6">
      <c r="A1126" s="217">
        <v>228101</v>
      </c>
      <c r="B1126" s="218" t="s">
        <v>325</v>
      </c>
      <c r="C1126" s="306"/>
      <c r="D1126" s="219"/>
      <c r="E1126" s="173"/>
      <c r="F1126" s="173">
        <f t="shared" si="31"/>
        <v>0</v>
      </c>
    </row>
    <row r="1127" spans="1:6" ht="55.75">
      <c r="A1127" s="296">
        <v>30901</v>
      </c>
      <c r="B1127" s="297" t="s">
        <v>294</v>
      </c>
      <c r="C1127" s="306"/>
      <c r="D1127" s="328" t="s">
        <v>1</v>
      </c>
      <c r="E1127" s="328" t="s">
        <v>261</v>
      </c>
      <c r="F1127" s="328" t="s">
        <v>279</v>
      </c>
    </row>
    <row r="1128" spans="1:6">
      <c r="A1128" s="280" t="s">
        <v>5</v>
      </c>
      <c r="B1128" s="281" t="s">
        <v>65</v>
      </c>
      <c r="C1128" s="306"/>
      <c r="D1128" s="343">
        <f>D1129+D1140</f>
        <v>0</v>
      </c>
      <c r="E1128" s="343">
        <f>E1129+E1140</f>
        <v>0</v>
      </c>
      <c r="F1128" s="343">
        <f>E1128/12</f>
        <v>0</v>
      </c>
    </row>
    <row r="1129" spans="1:6">
      <c r="A1129" s="298">
        <v>21</v>
      </c>
      <c r="B1129" s="299" t="s">
        <v>6</v>
      </c>
      <c r="C1129" s="306"/>
      <c r="D1129" s="350">
        <f>D1130</f>
        <v>0</v>
      </c>
      <c r="E1129" s="350">
        <f>E1130</f>
        <v>0</v>
      </c>
      <c r="F1129" s="350">
        <f t="shared" ref="F1129:F1173" si="32">E1129/12</f>
        <v>0</v>
      </c>
    </row>
    <row r="1130" spans="1:6">
      <c r="A1130" s="301">
        <v>211</v>
      </c>
      <c r="B1130" s="302" t="s">
        <v>7</v>
      </c>
      <c r="C1130" s="306"/>
      <c r="D1130" s="351">
        <f>D1131+D1134+D1138</f>
        <v>0</v>
      </c>
      <c r="E1130" s="351">
        <f>E1131+E1134+E1138</f>
        <v>0</v>
      </c>
      <c r="F1130" s="351">
        <f t="shared" si="32"/>
        <v>0</v>
      </c>
    </row>
    <row r="1131" spans="1:6">
      <c r="A1131" s="230">
        <v>2111</v>
      </c>
      <c r="B1131" s="231" t="s">
        <v>8</v>
      </c>
      <c r="C1131" s="306"/>
      <c r="D1131" s="352">
        <f>SUM(D1132:D1133)</f>
        <v>0</v>
      </c>
      <c r="E1131" s="52">
        <f>SUM(E1132:E1133)</f>
        <v>0</v>
      </c>
      <c r="F1131" s="52">
        <f t="shared" si="32"/>
        <v>0</v>
      </c>
    </row>
    <row r="1132" spans="1:6">
      <c r="A1132" s="232">
        <v>211101</v>
      </c>
      <c r="B1132" s="233" t="s">
        <v>9</v>
      </c>
      <c r="C1132" s="306"/>
      <c r="D1132" s="353"/>
      <c r="E1132" s="175"/>
      <c r="F1132" s="175">
        <f t="shared" si="32"/>
        <v>0</v>
      </c>
    </row>
    <row r="1133" spans="1:6">
      <c r="A1133" s="232">
        <v>211106</v>
      </c>
      <c r="B1133" s="233" t="s">
        <v>33</v>
      </c>
      <c r="C1133" s="306"/>
      <c r="D1133" s="353"/>
      <c r="E1133" s="353"/>
      <c r="F1133" s="175">
        <f t="shared" si="32"/>
        <v>0</v>
      </c>
    </row>
    <row r="1134" spans="1:6">
      <c r="A1134" s="230">
        <v>2113</v>
      </c>
      <c r="B1134" s="231" t="s">
        <v>10</v>
      </c>
      <c r="C1134" s="306"/>
      <c r="D1134" s="352">
        <f>SUM(D1135:D1137)</f>
        <v>0</v>
      </c>
      <c r="E1134" s="52">
        <f>SUM(E1135:E1137)</f>
        <v>0</v>
      </c>
      <c r="F1134" s="52">
        <f t="shared" si="32"/>
        <v>0</v>
      </c>
    </row>
    <row r="1135" spans="1:6">
      <c r="A1135" s="232">
        <v>211301</v>
      </c>
      <c r="B1135" s="233" t="s">
        <v>11</v>
      </c>
      <c r="C1135" s="306"/>
      <c r="D1135" s="354"/>
      <c r="E1135" s="173"/>
      <c r="F1135" s="173">
        <f t="shared" si="32"/>
        <v>0</v>
      </c>
    </row>
    <row r="1136" spans="1:6">
      <c r="A1136" s="232">
        <v>211306</v>
      </c>
      <c r="B1136" s="233" t="s">
        <v>34</v>
      </c>
      <c r="C1136" s="306"/>
      <c r="D1136" s="353"/>
      <c r="E1136" s="173"/>
      <c r="F1136" s="173">
        <f t="shared" si="32"/>
        <v>0</v>
      </c>
    </row>
    <row r="1137" spans="1:6">
      <c r="A1137" s="232">
        <v>211308</v>
      </c>
      <c r="B1137" s="233" t="s">
        <v>12</v>
      </c>
      <c r="C1137" s="306"/>
      <c r="D1137" s="353"/>
      <c r="E1137" s="173"/>
      <c r="F1137" s="173">
        <f t="shared" si="32"/>
        <v>0</v>
      </c>
    </row>
    <row r="1138" spans="1:6">
      <c r="A1138" s="230">
        <v>2115</v>
      </c>
      <c r="B1138" s="231" t="s">
        <v>13</v>
      </c>
      <c r="C1138" s="306"/>
      <c r="D1138" s="352">
        <f>D1139</f>
        <v>0</v>
      </c>
      <c r="E1138" s="52">
        <f>E1139</f>
        <v>0</v>
      </c>
      <c r="F1138" s="52">
        <f t="shared" si="32"/>
        <v>0</v>
      </c>
    </row>
    <row r="1139" spans="1:6">
      <c r="A1139" s="232">
        <v>211501</v>
      </c>
      <c r="B1139" s="233" t="s">
        <v>14</v>
      </c>
      <c r="C1139" s="306"/>
      <c r="D1139" s="354"/>
      <c r="E1139" s="173"/>
      <c r="F1139" s="173">
        <f t="shared" si="32"/>
        <v>0</v>
      </c>
    </row>
    <row r="1140" spans="1:6">
      <c r="A1140" s="298">
        <v>22</v>
      </c>
      <c r="B1140" s="299" t="s">
        <v>15</v>
      </c>
      <c r="C1140" s="306"/>
      <c r="D1140" s="350">
        <f>D1141</f>
        <v>0</v>
      </c>
      <c r="E1140" s="350">
        <f>E1141</f>
        <v>0</v>
      </c>
      <c r="F1140" s="350">
        <f t="shared" si="32"/>
        <v>0</v>
      </c>
    </row>
    <row r="1141" spans="1:6">
      <c r="A1141" s="301">
        <v>221</v>
      </c>
      <c r="B1141" s="302" t="s">
        <v>16</v>
      </c>
      <c r="C1141" s="306"/>
      <c r="D1141" s="351">
        <f>D1142+D1146+D1149+D1152+D1155+D1160+D1165+D1169+D1172</f>
        <v>0</v>
      </c>
      <c r="E1141" s="351">
        <f>E1142+E1146+E1149+E1152+E1155+E1160+E1165+E1169+E1172</f>
        <v>0</v>
      </c>
      <c r="F1141" s="351">
        <f t="shared" si="32"/>
        <v>0</v>
      </c>
    </row>
    <row r="1142" spans="1:6">
      <c r="A1142" s="74">
        <v>2211</v>
      </c>
      <c r="B1142" s="194" t="s">
        <v>304</v>
      </c>
      <c r="C1142" s="306"/>
      <c r="D1142" s="352">
        <f>SUM(D1143:D1145)</f>
        <v>0</v>
      </c>
      <c r="E1142" s="352">
        <f>SUM(E1143:E1145)</f>
        <v>0</v>
      </c>
      <c r="F1142" s="352">
        <f t="shared" si="32"/>
        <v>0</v>
      </c>
    </row>
    <row r="1143" spans="1:6">
      <c r="A1143" s="268">
        <v>221101</v>
      </c>
      <c r="B1143" s="269" t="s">
        <v>305</v>
      </c>
      <c r="C1143" s="306"/>
      <c r="D1143" s="353"/>
      <c r="E1143" s="173"/>
      <c r="F1143" s="173">
        <f t="shared" si="32"/>
        <v>0</v>
      </c>
    </row>
    <row r="1144" spans="1:6">
      <c r="A1144" s="268">
        <v>221102</v>
      </c>
      <c r="B1144" s="269" t="s">
        <v>30</v>
      </c>
      <c r="C1144" s="306"/>
      <c r="D1144" s="353"/>
      <c r="E1144" s="353"/>
      <c r="F1144" s="173">
        <f t="shared" si="32"/>
        <v>0</v>
      </c>
    </row>
    <row r="1145" spans="1:6">
      <c r="A1145" s="217">
        <v>221103</v>
      </c>
      <c r="B1145" s="218" t="s">
        <v>306</v>
      </c>
      <c r="C1145" s="306"/>
      <c r="D1145" s="353"/>
      <c r="E1145" s="173"/>
      <c r="F1145" s="173">
        <f t="shared" si="32"/>
        <v>0</v>
      </c>
    </row>
    <row r="1146" spans="1:6">
      <c r="A1146" s="246">
        <v>2221</v>
      </c>
      <c r="B1146" s="247" t="s">
        <v>17</v>
      </c>
      <c r="C1146" s="306"/>
      <c r="D1146" s="352">
        <f>SUM(D1147:D1148)</f>
        <v>0</v>
      </c>
      <c r="E1146" s="352">
        <f>SUM(E1147:E1148)</f>
        <v>0</v>
      </c>
      <c r="F1146" s="352">
        <f t="shared" si="32"/>
        <v>0</v>
      </c>
    </row>
    <row r="1147" spans="1:6">
      <c r="A1147" s="217">
        <v>222101</v>
      </c>
      <c r="B1147" s="218" t="s">
        <v>18</v>
      </c>
      <c r="C1147" s="306"/>
      <c r="D1147" s="354"/>
      <c r="E1147" s="354"/>
      <c r="F1147" s="173">
        <f t="shared" si="32"/>
        <v>0</v>
      </c>
    </row>
    <row r="1148" spans="1:6" ht="15.9">
      <c r="A1148" s="217">
        <v>222102</v>
      </c>
      <c r="B1148" s="218" t="s">
        <v>19</v>
      </c>
      <c r="C1148" s="306"/>
      <c r="D1148" s="355"/>
      <c r="E1148" s="173"/>
      <c r="F1148" s="173">
        <f t="shared" si="32"/>
        <v>0</v>
      </c>
    </row>
    <row r="1149" spans="1:6">
      <c r="A1149" s="74">
        <v>2222</v>
      </c>
      <c r="B1149" s="194" t="s">
        <v>20</v>
      </c>
      <c r="C1149" s="306"/>
      <c r="D1149" s="352">
        <f>SUM(D1150:D1151)</f>
        <v>0</v>
      </c>
      <c r="E1149" s="352">
        <f>SUM(E1150:E1151)</f>
        <v>0</v>
      </c>
      <c r="F1149" s="352">
        <f t="shared" si="32"/>
        <v>0</v>
      </c>
    </row>
    <row r="1150" spans="1:6">
      <c r="A1150" s="217">
        <v>222201</v>
      </c>
      <c r="B1150" s="218" t="s">
        <v>309</v>
      </c>
      <c r="C1150" s="306"/>
      <c r="D1150" s="353"/>
      <c r="E1150" s="173"/>
      <c r="F1150" s="173">
        <f t="shared" si="32"/>
        <v>0</v>
      </c>
    </row>
    <row r="1151" spans="1:6">
      <c r="A1151" s="217">
        <v>222202</v>
      </c>
      <c r="B1151" s="218" t="s">
        <v>328</v>
      </c>
      <c r="C1151" s="306"/>
      <c r="D1151" s="353"/>
      <c r="E1151" s="173"/>
      <c r="F1151" s="173">
        <f t="shared" si="32"/>
        <v>0</v>
      </c>
    </row>
    <row r="1152" spans="1:6">
      <c r="A1152" s="246">
        <v>2223</v>
      </c>
      <c r="B1152" s="247" t="s">
        <v>23</v>
      </c>
      <c r="C1152" s="306"/>
      <c r="D1152" s="352">
        <f>SUM(D1153:D1154)</f>
        <v>0</v>
      </c>
      <c r="E1152" s="352">
        <f>SUM(E1153:E1154)</f>
        <v>0</v>
      </c>
      <c r="F1152" s="352">
        <f t="shared" si="32"/>
        <v>0</v>
      </c>
    </row>
    <row r="1153" spans="1:6">
      <c r="A1153" s="217">
        <v>222301</v>
      </c>
      <c r="B1153" s="218" t="s">
        <v>310</v>
      </c>
      <c r="C1153" s="306"/>
      <c r="D1153" s="353"/>
      <c r="E1153" s="353"/>
      <c r="F1153" s="174">
        <f t="shared" si="32"/>
        <v>0</v>
      </c>
    </row>
    <row r="1154" spans="1:6">
      <c r="A1154" s="217">
        <v>222302</v>
      </c>
      <c r="B1154" s="218" t="s">
        <v>24</v>
      </c>
      <c r="C1154" s="306"/>
      <c r="D1154" s="353"/>
      <c r="E1154" s="174"/>
      <c r="F1154" s="174">
        <f t="shared" si="32"/>
        <v>0</v>
      </c>
    </row>
    <row r="1155" spans="1:6">
      <c r="A1155" s="246">
        <v>2224</v>
      </c>
      <c r="B1155" s="194" t="s">
        <v>330</v>
      </c>
      <c r="C1155" s="306"/>
      <c r="D1155" s="352">
        <f>SUM(D1156:D1159)</f>
        <v>0</v>
      </c>
      <c r="E1155" s="352">
        <f>SUM(E1156:E1159)</f>
        <v>0</v>
      </c>
      <c r="F1155" s="352">
        <f t="shared" si="32"/>
        <v>0</v>
      </c>
    </row>
    <row r="1156" spans="1:6">
      <c r="A1156" s="217">
        <v>222401</v>
      </c>
      <c r="B1156" s="218" t="s">
        <v>343</v>
      </c>
      <c r="C1156" s="306"/>
      <c r="D1156" s="353"/>
      <c r="E1156" s="174"/>
      <c r="F1156" s="174">
        <f t="shared" si="32"/>
        <v>0</v>
      </c>
    </row>
    <row r="1157" spans="1:6">
      <c r="A1157" s="217">
        <v>222403</v>
      </c>
      <c r="B1157" s="218" t="s">
        <v>312</v>
      </c>
      <c r="C1157" s="306"/>
      <c r="D1157" s="353"/>
      <c r="E1157" s="174"/>
      <c r="F1157" s="174">
        <f t="shared" si="32"/>
        <v>0</v>
      </c>
    </row>
    <row r="1158" spans="1:6">
      <c r="A1158" s="217">
        <v>222404</v>
      </c>
      <c r="B1158" s="218" t="s">
        <v>313</v>
      </c>
      <c r="C1158" s="306"/>
      <c r="D1158" s="353"/>
      <c r="E1158" s="174"/>
      <c r="F1158" s="174">
        <f t="shared" si="32"/>
        <v>0</v>
      </c>
    </row>
    <row r="1159" spans="1:6">
      <c r="A1159" s="217">
        <v>222405</v>
      </c>
      <c r="B1159" s="218" t="s">
        <v>314</v>
      </c>
      <c r="C1159" s="306"/>
      <c r="D1159" s="353"/>
      <c r="E1159" s="174"/>
      <c r="F1159" s="174">
        <f t="shared" si="32"/>
        <v>0</v>
      </c>
    </row>
    <row r="1160" spans="1:6">
      <c r="A1160" s="74">
        <v>2225</v>
      </c>
      <c r="B1160" s="194" t="s">
        <v>331</v>
      </c>
      <c r="C1160" s="306"/>
      <c r="D1160" s="352">
        <f>SUM(D1161:D1164)</f>
        <v>0</v>
      </c>
      <c r="E1160" s="52">
        <f>SUM(E1161:E1164)</f>
        <v>0</v>
      </c>
      <c r="F1160" s="52">
        <f t="shared" si="32"/>
        <v>0</v>
      </c>
    </row>
    <row r="1161" spans="1:6" ht="15.9">
      <c r="A1161" s="217">
        <v>222501</v>
      </c>
      <c r="B1161" s="218" t="s">
        <v>315</v>
      </c>
      <c r="C1161" s="306"/>
      <c r="D1161" s="138"/>
      <c r="E1161" s="173"/>
      <c r="F1161" s="173">
        <f t="shared" si="32"/>
        <v>0</v>
      </c>
    </row>
    <row r="1162" spans="1:6" ht="15.9">
      <c r="A1162" s="217">
        <v>222502</v>
      </c>
      <c r="B1162" s="218" t="s">
        <v>316</v>
      </c>
      <c r="C1162" s="306"/>
      <c r="D1162" s="138"/>
      <c r="E1162" s="173"/>
      <c r="F1162" s="173">
        <f t="shared" si="32"/>
        <v>0</v>
      </c>
    </row>
    <row r="1163" spans="1:6" ht="15.9">
      <c r="A1163" s="217">
        <v>222503</v>
      </c>
      <c r="B1163" s="218" t="s">
        <v>317</v>
      </c>
      <c r="C1163" s="306"/>
      <c r="D1163" s="138"/>
      <c r="E1163" s="173"/>
      <c r="F1163" s="173">
        <f t="shared" si="32"/>
        <v>0</v>
      </c>
    </row>
    <row r="1164" spans="1:6" ht="15.9">
      <c r="A1164" s="217">
        <v>222504</v>
      </c>
      <c r="B1164" s="218" t="s">
        <v>318</v>
      </c>
      <c r="C1164" s="306"/>
      <c r="D1164" s="138"/>
      <c r="E1164" s="173"/>
      <c r="F1164" s="173">
        <f t="shared" si="32"/>
        <v>0</v>
      </c>
    </row>
    <row r="1165" spans="1:6">
      <c r="A1165" s="246">
        <v>2231</v>
      </c>
      <c r="B1165" s="247" t="s">
        <v>21</v>
      </c>
      <c r="C1165" s="306"/>
      <c r="D1165" s="352">
        <f>SUM(D1166:D1168)</f>
        <v>0</v>
      </c>
      <c r="E1165" s="352">
        <f>SUM(E1166:E1168)</f>
        <v>0</v>
      </c>
      <c r="F1165" s="352">
        <f t="shared" si="32"/>
        <v>0</v>
      </c>
    </row>
    <row r="1166" spans="1:6">
      <c r="A1166" s="217">
        <v>223101</v>
      </c>
      <c r="B1166" s="218" t="s">
        <v>319</v>
      </c>
      <c r="C1166" s="306"/>
      <c r="D1166" s="354"/>
      <c r="E1166" s="354"/>
      <c r="F1166" s="173">
        <f t="shared" si="32"/>
        <v>0</v>
      </c>
    </row>
    <row r="1167" spans="1:6">
      <c r="A1167" s="217">
        <v>223102</v>
      </c>
      <c r="B1167" s="218" t="s">
        <v>22</v>
      </c>
      <c r="C1167" s="306"/>
      <c r="D1167" s="353"/>
      <c r="E1167" s="173"/>
      <c r="F1167" s="173">
        <f t="shared" si="32"/>
        <v>0</v>
      </c>
    </row>
    <row r="1168" spans="1:6">
      <c r="A1168" s="217">
        <v>223103</v>
      </c>
      <c r="B1168" s="218" t="s">
        <v>340</v>
      </c>
      <c r="C1168" s="306"/>
      <c r="D1168" s="353"/>
      <c r="E1168" s="173"/>
      <c r="F1168" s="173">
        <f t="shared" si="32"/>
        <v>0</v>
      </c>
    </row>
    <row r="1169" spans="1:6">
      <c r="A1169" s="246">
        <v>2244</v>
      </c>
      <c r="B1169" s="247" t="s">
        <v>321</v>
      </c>
      <c r="C1169" s="306"/>
      <c r="D1169" s="352">
        <f>SUM(D1170:D1171)</f>
        <v>0</v>
      </c>
      <c r="E1169" s="352">
        <f>SUM(E1170:E1171)</f>
        <v>0</v>
      </c>
      <c r="F1169" s="352">
        <f t="shared" si="32"/>
        <v>0</v>
      </c>
    </row>
    <row r="1170" spans="1:6">
      <c r="A1170" s="217">
        <v>224401</v>
      </c>
      <c r="B1170" s="218" t="s">
        <v>344</v>
      </c>
      <c r="C1170" s="306"/>
      <c r="D1170" s="354"/>
      <c r="E1170" s="175"/>
      <c r="F1170" s="354">
        <f t="shared" si="32"/>
        <v>0</v>
      </c>
    </row>
    <row r="1171" spans="1:6">
      <c r="A1171" s="217">
        <v>224402</v>
      </c>
      <c r="B1171" s="218" t="s">
        <v>323</v>
      </c>
      <c r="C1171" s="306"/>
      <c r="D1171" s="354"/>
      <c r="E1171" s="354"/>
      <c r="F1171" s="354">
        <f t="shared" si="32"/>
        <v>0</v>
      </c>
    </row>
    <row r="1172" spans="1:6">
      <c r="A1172" s="246">
        <v>2281</v>
      </c>
      <c r="B1172" s="247" t="s">
        <v>13</v>
      </c>
      <c r="C1172" s="306"/>
      <c r="D1172" s="352">
        <f>D1173</f>
        <v>0</v>
      </c>
      <c r="E1172" s="352">
        <f>E1173</f>
        <v>0</v>
      </c>
      <c r="F1172" s="352">
        <f t="shared" si="32"/>
        <v>0</v>
      </c>
    </row>
    <row r="1173" spans="1:6">
      <c r="A1173" s="217">
        <v>228101</v>
      </c>
      <c r="B1173" s="218" t="s">
        <v>325</v>
      </c>
      <c r="C1173" s="306"/>
      <c r="D1173" s="354"/>
      <c r="E1173" s="175"/>
      <c r="F1173" s="175">
        <f t="shared" si="32"/>
        <v>0</v>
      </c>
    </row>
    <row r="1174" spans="1:6" ht="55.75">
      <c r="A1174" s="296">
        <v>30902</v>
      </c>
      <c r="B1174" s="297" t="s">
        <v>298</v>
      </c>
      <c r="C1174" s="306"/>
      <c r="D1174" s="328" t="s">
        <v>1</v>
      </c>
      <c r="E1174" s="328" t="s">
        <v>261</v>
      </c>
      <c r="F1174" s="328" t="s">
        <v>279</v>
      </c>
    </row>
    <row r="1175" spans="1:6">
      <c r="A1175" s="280" t="s">
        <v>5</v>
      </c>
      <c r="B1175" s="281" t="s">
        <v>65</v>
      </c>
      <c r="C1175" s="306"/>
      <c r="D1175" s="365">
        <f>D1176+D1187+D1221</f>
        <v>0</v>
      </c>
      <c r="E1175" s="366">
        <f>E1176+E1187+E1221</f>
        <v>0</v>
      </c>
      <c r="F1175" s="366">
        <f>E1175/12</f>
        <v>0</v>
      </c>
    </row>
    <row r="1176" spans="1:6">
      <c r="A1176" s="298">
        <v>21</v>
      </c>
      <c r="B1176" s="299" t="s">
        <v>6</v>
      </c>
      <c r="C1176" s="306"/>
      <c r="D1176" s="344">
        <f>D1177</f>
        <v>0</v>
      </c>
      <c r="E1176" s="344">
        <f>E1177</f>
        <v>0</v>
      </c>
      <c r="F1176" s="344">
        <f t="shared" ref="F1176:F1222" si="33">E1176/12</f>
        <v>0</v>
      </c>
    </row>
    <row r="1177" spans="1:6">
      <c r="A1177" s="301">
        <v>211</v>
      </c>
      <c r="B1177" s="302" t="s">
        <v>7</v>
      </c>
      <c r="C1177" s="306"/>
      <c r="D1177" s="345">
        <f>D1178+D1181+D1185</f>
        <v>0</v>
      </c>
      <c r="E1177" s="345">
        <f>E1178+E1181+E1185</f>
        <v>0</v>
      </c>
      <c r="F1177" s="345">
        <f t="shared" si="33"/>
        <v>0</v>
      </c>
    </row>
    <row r="1178" spans="1:6">
      <c r="A1178" s="230">
        <v>2111</v>
      </c>
      <c r="B1178" s="231" t="s">
        <v>8</v>
      </c>
      <c r="C1178" s="306"/>
      <c r="D1178" s="346">
        <f>SUM(D1179:D1180)</f>
        <v>0</v>
      </c>
      <c r="E1178" s="346">
        <f>SUM(E1179:E1180)</f>
        <v>0</v>
      </c>
      <c r="F1178" s="346">
        <f t="shared" si="33"/>
        <v>0</v>
      </c>
    </row>
    <row r="1179" spans="1:6">
      <c r="A1179" s="232">
        <v>211101</v>
      </c>
      <c r="B1179" s="233" t="s">
        <v>9</v>
      </c>
      <c r="C1179" s="306"/>
      <c r="D1179" s="220"/>
      <c r="E1179" s="220"/>
      <c r="F1179" s="220">
        <f t="shared" si="33"/>
        <v>0</v>
      </c>
    </row>
    <row r="1180" spans="1:6">
      <c r="A1180" s="232">
        <v>211106</v>
      </c>
      <c r="B1180" s="233" t="s">
        <v>33</v>
      </c>
      <c r="C1180" s="306"/>
      <c r="D1180" s="220"/>
      <c r="E1180" s="173"/>
      <c r="F1180" s="220">
        <f t="shared" si="33"/>
        <v>0</v>
      </c>
    </row>
    <row r="1181" spans="1:6">
      <c r="A1181" s="230">
        <v>2113</v>
      </c>
      <c r="B1181" s="231" t="s">
        <v>10</v>
      </c>
      <c r="C1181" s="306"/>
      <c r="D1181" s="346">
        <f>SUM(D1182:D1184)</f>
        <v>0</v>
      </c>
      <c r="E1181" s="346">
        <f>SUM(E1182:E1184)</f>
        <v>0</v>
      </c>
      <c r="F1181" s="346">
        <f t="shared" si="33"/>
        <v>0</v>
      </c>
    </row>
    <row r="1182" spans="1:6">
      <c r="A1182" s="232">
        <v>211301</v>
      </c>
      <c r="B1182" s="233" t="s">
        <v>11</v>
      </c>
      <c r="C1182" s="306"/>
      <c r="D1182" s="220"/>
      <c r="E1182" s="220"/>
      <c r="F1182" s="173">
        <f t="shared" si="33"/>
        <v>0</v>
      </c>
    </row>
    <row r="1183" spans="1:6">
      <c r="A1183" s="232">
        <v>211306</v>
      </c>
      <c r="B1183" s="233" t="s">
        <v>34</v>
      </c>
      <c r="C1183" s="306"/>
      <c r="D1183" s="220"/>
      <c r="E1183" s="173"/>
      <c r="F1183" s="173">
        <f t="shared" si="33"/>
        <v>0</v>
      </c>
    </row>
    <row r="1184" spans="1:6">
      <c r="A1184" s="232">
        <v>211308</v>
      </c>
      <c r="B1184" s="233" t="s">
        <v>12</v>
      </c>
      <c r="C1184" s="306"/>
      <c r="D1184" s="220"/>
      <c r="E1184" s="173"/>
      <c r="F1184" s="173">
        <f t="shared" si="33"/>
        <v>0</v>
      </c>
    </row>
    <row r="1185" spans="1:6">
      <c r="A1185" s="230">
        <v>2115</v>
      </c>
      <c r="B1185" s="231" t="s">
        <v>13</v>
      </c>
      <c r="C1185" s="306"/>
      <c r="D1185" s="346">
        <f>D1186</f>
        <v>0</v>
      </c>
      <c r="E1185" s="52">
        <f>E1186</f>
        <v>0</v>
      </c>
      <c r="F1185" s="52">
        <f t="shared" si="33"/>
        <v>0</v>
      </c>
    </row>
    <row r="1186" spans="1:6">
      <c r="A1186" s="232">
        <v>211501</v>
      </c>
      <c r="B1186" s="233" t="s">
        <v>14</v>
      </c>
      <c r="C1186" s="306"/>
      <c r="D1186" s="220"/>
      <c r="E1186" s="173"/>
      <c r="F1186" s="173">
        <f t="shared" si="33"/>
        <v>0</v>
      </c>
    </row>
    <row r="1187" spans="1:6">
      <c r="A1187" s="298">
        <v>22</v>
      </c>
      <c r="B1187" s="299" t="s">
        <v>15</v>
      </c>
      <c r="C1187" s="306"/>
      <c r="D1187" s="344">
        <f>D1188</f>
        <v>0</v>
      </c>
      <c r="E1187" s="344">
        <f>E1188</f>
        <v>0</v>
      </c>
      <c r="F1187" s="344">
        <f t="shared" si="33"/>
        <v>0</v>
      </c>
    </row>
    <row r="1188" spans="1:6">
      <c r="A1188" s="301">
        <v>221</v>
      </c>
      <c r="B1188" s="302" t="s">
        <v>16</v>
      </c>
      <c r="C1188" s="306"/>
      <c r="D1188" s="345">
        <f>D1189+D1193+D1196+D1199+D1202+D1207+D1212+D1216+D1219</f>
        <v>0</v>
      </c>
      <c r="E1188" s="345">
        <f>E1189+E1193+E1196+E1199+E1202+E1207+E1212+E1216+E1219</f>
        <v>0</v>
      </c>
      <c r="F1188" s="345">
        <f t="shared" si="33"/>
        <v>0</v>
      </c>
    </row>
    <row r="1189" spans="1:6">
      <c r="A1189" s="74">
        <v>2211</v>
      </c>
      <c r="B1189" s="194" t="s">
        <v>304</v>
      </c>
      <c r="C1189" s="306"/>
      <c r="D1189" s="346">
        <f>SUM(D1190:D1192)</f>
        <v>0</v>
      </c>
      <c r="E1189" s="346">
        <f>SUM(E1190:E1192)</f>
        <v>0</v>
      </c>
      <c r="F1189" s="346">
        <f t="shared" si="33"/>
        <v>0</v>
      </c>
    </row>
    <row r="1190" spans="1:6">
      <c r="A1190" s="268">
        <v>221101</v>
      </c>
      <c r="B1190" s="269" t="s">
        <v>305</v>
      </c>
      <c r="C1190" s="306"/>
      <c r="D1190" s="220"/>
      <c r="E1190" s="173"/>
      <c r="F1190" s="173">
        <f t="shared" si="33"/>
        <v>0</v>
      </c>
    </row>
    <row r="1191" spans="1:6">
      <c r="A1191" s="268">
        <v>221102</v>
      </c>
      <c r="B1191" s="269" t="s">
        <v>30</v>
      </c>
      <c r="C1191" s="306"/>
      <c r="D1191" s="220"/>
      <c r="E1191" s="173"/>
      <c r="F1191" s="173">
        <f t="shared" si="33"/>
        <v>0</v>
      </c>
    </row>
    <row r="1192" spans="1:6">
      <c r="A1192" s="217">
        <v>221103</v>
      </c>
      <c r="B1192" s="218" t="s">
        <v>306</v>
      </c>
      <c r="C1192" s="306"/>
      <c r="D1192" s="220"/>
      <c r="E1192" s="173"/>
      <c r="F1192" s="173">
        <f t="shared" si="33"/>
        <v>0</v>
      </c>
    </row>
    <row r="1193" spans="1:6">
      <c r="A1193" s="246">
        <v>2221</v>
      </c>
      <c r="B1193" s="247" t="s">
        <v>17</v>
      </c>
      <c r="C1193" s="306"/>
      <c r="D1193" s="346">
        <f>SUM(D1194:D1195)</f>
        <v>0</v>
      </c>
      <c r="E1193" s="346">
        <f>SUM(E1194:E1195)</f>
        <v>0</v>
      </c>
      <c r="F1193" s="346">
        <f t="shared" si="33"/>
        <v>0</v>
      </c>
    </row>
    <row r="1194" spans="1:6">
      <c r="A1194" s="217">
        <v>222101</v>
      </c>
      <c r="B1194" s="218" t="s">
        <v>18</v>
      </c>
      <c r="C1194" s="306"/>
      <c r="D1194" s="220"/>
      <c r="E1194" s="220"/>
      <c r="F1194" s="174">
        <f t="shared" si="33"/>
        <v>0</v>
      </c>
    </row>
    <row r="1195" spans="1:6">
      <c r="A1195" s="217">
        <v>222102</v>
      </c>
      <c r="B1195" s="218" t="s">
        <v>19</v>
      </c>
      <c r="C1195" s="306"/>
      <c r="D1195" s="220"/>
      <c r="E1195" s="174"/>
      <c r="F1195" s="174">
        <f t="shared" si="33"/>
        <v>0</v>
      </c>
    </row>
    <row r="1196" spans="1:6">
      <c r="A1196" s="74">
        <v>2222</v>
      </c>
      <c r="B1196" s="194" t="s">
        <v>20</v>
      </c>
      <c r="C1196" s="306"/>
      <c r="D1196" s="346">
        <f>SUM(D1197:D1198)</f>
        <v>0</v>
      </c>
      <c r="E1196" s="346">
        <f>SUM(E1197:E1198)</f>
        <v>0</v>
      </c>
      <c r="F1196" s="346">
        <f t="shared" si="33"/>
        <v>0</v>
      </c>
    </row>
    <row r="1197" spans="1:6">
      <c r="A1197" s="217">
        <v>222201</v>
      </c>
      <c r="B1197" s="218" t="s">
        <v>309</v>
      </c>
      <c r="C1197" s="306"/>
      <c r="D1197" s="220"/>
      <c r="E1197" s="174"/>
      <c r="F1197" s="174">
        <f t="shared" si="33"/>
        <v>0</v>
      </c>
    </row>
    <row r="1198" spans="1:6">
      <c r="A1198" s="217">
        <v>222202</v>
      </c>
      <c r="B1198" s="218" t="s">
        <v>328</v>
      </c>
      <c r="C1198" s="306"/>
      <c r="D1198" s="220"/>
      <c r="E1198" s="174"/>
      <c r="F1198" s="174">
        <f t="shared" si="33"/>
        <v>0</v>
      </c>
    </row>
    <row r="1199" spans="1:6">
      <c r="A1199" s="246">
        <v>2223</v>
      </c>
      <c r="B1199" s="247" t="s">
        <v>23</v>
      </c>
      <c r="C1199" s="306"/>
      <c r="D1199" s="346">
        <f>SUM(D1200:D1201)</f>
        <v>0</v>
      </c>
      <c r="E1199" s="52">
        <f>SUM(E1200:E1201)</f>
        <v>0</v>
      </c>
      <c r="F1199" s="52">
        <f t="shared" si="33"/>
        <v>0</v>
      </c>
    </row>
    <row r="1200" spans="1:6">
      <c r="A1200" s="217">
        <v>222301</v>
      </c>
      <c r="B1200" s="218" t="s">
        <v>310</v>
      </c>
      <c r="C1200" s="306"/>
      <c r="D1200" s="220"/>
      <c r="E1200" s="173"/>
      <c r="F1200" s="173">
        <f>E1200/12</f>
        <v>0</v>
      </c>
    </row>
    <row r="1201" spans="1:6">
      <c r="A1201" s="217">
        <v>222302</v>
      </c>
      <c r="B1201" s="218" t="s">
        <v>24</v>
      </c>
      <c r="C1201" s="306"/>
      <c r="D1201" s="220"/>
      <c r="E1201" s="173"/>
      <c r="F1201" s="173">
        <f t="shared" si="33"/>
        <v>0</v>
      </c>
    </row>
    <row r="1202" spans="1:6">
      <c r="A1202" s="246">
        <v>2224</v>
      </c>
      <c r="B1202" s="194" t="s">
        <v>330</v>
      </c>
      <c r="C1202" s="306"/>
      <c r="D1202" s="346">
        <f>SUM(D1203:D1206)</f>
        <v>0</v>
      </c>
      <c r="E1202" s="346">
        <f>SUM(E1203:E1206)</f>
        <v>0</v>
      </c>
      <c r="F1202" s="346">
        <f t="shared" si="33"/>
        <v>0</v>
      </c>
    </row>
    <row r="1203" spans="1:6">
      <c r="A1203" s="217">
        <v>222401</v>
      </c>
      <c r="B1203" s="218" t="s">
        <v>343</v>
      </c>
      <c r="C1203" s="306"/>
      <c r="D1203" s="220"/>
      <c r="E1203" s="220"/>
      <c r="F1203" s="220">
        <f t="shared" si="33"/>
        <v>0</v>
      </c>
    </row>
    <row r="1204" spans="1:6">
      <c r="A1204" s="217">
        <v>222403</v>
      </c>
      <c r="B1204" s="218" t="s">
        <v>312</v>
      </c>
      <c r="C1204" s="306"/>
      <c r="D1204" s="220"/>
      <c r="E1204" s="220"/>
      <c r="F1204" s="220">
        <f t="shared" si="33"/>
        <v>0</v>
      </c>
    </row>
    <row r="1205" spans="1:6">
      <c r="A1205" s="217">
        <v>222404</v>
      </c>
      <c r="B1205" s="218" t="s">
        <v>313</v>
      </c>
      <c r="C1205" s="306"/>
      <c r="D1205" s="220"/>
      <c r="E1205" s="220"/>
      <c r="F1205" s="220">
        <f t="shared" si="33"/>
        <v>0</v>
      </c>
    </row>
    <row r="1206" spans="1:6">
      <c r="A1206" s="217">
        <v>222405</v>
      </c>
      <c r="B1206" s="218" t="s">
        <v>314</v>
      </c>
      <c r="C1206" s="306"/>
      <c r="D1206" s="220"/>
      <c r="E1206" s="220"/>
      <c r="F1206" s="220">
        <f t="shared" si="33"/>
        <v>0</v>
      </c>
    </row>
    <row r="1207" spans="1:6">
      <c r="A1207" s="74">
        <v>2225</v>
      </c>
      <c r="B1207" s="194" t="s">
        <v>331</v>
      </c>
      <c r="C1207" s="306"/>
      <c r="D1207" s="346">
        <f>SUM(D1208:D1211)</f>
        <v>0</v>
      </c>
      <c r="E1207" s="346">
        <f>SUM(E1208:E1211)</f>
        <v>0</v>
      </c>
      <c r="F1207" s="346">
        <f t="shared" si="33"/>
        <v>0</v>
      </c>
    </row>
    <row r="1208" spans="1:6">
      <c r="A1208" s="217">
        <v>222501</v>
      </c>
      <c r="B1208" s="218" t="s">
        <v>315</v>
      </c>
      <c r="C1208" s="306"/>
      <c r="D1208" s="220"/>
      <c r="E1208" s="175"/>
      <c r="F1208" s="175">
        <f t="shared" si="33"/>
        <v>0</v>
      </c>
    </row>
    <row r="1209" spans="1:6">
      <c r="A1209" s="217">
        <v>222502</v>
      </c>
      <c r="B1209" s="218" t="s">
        <v>316</v>
      </c>
      <c r="C1209" s="306"/>
      <c r="D1209" s="220"/>
      <c r="E1209" s="175"/>
      <c r="F1209" s="175">
        <f t="shared" si="33"/>
        <v>0</v>
      </c>
    </row>
    <row r="1210" spans="1:6">
      <c r="A1210" s="217">
        <v>222503</v>
      </c>
      <c r="B1210" s="218" t="s">
        <v>317</v>
      </c>
      <c r="C1210" s="306"/>
      <c r="D1210" s="220"/>
      <c r="E1210" s="175"/>
      <c r="F1210" s="175">
        <f t="shared" si="33"/>
        <v>0</v>
      </c>
    </row>
    <row r="1211" spans="1:6">
      <c r="A1211" s="217">
        <v>222504</v>
      </c>
      <c r="B1211" s="218" t="s">
        <v>318</v>
      </c>
      <c r="C1211" s="306"/>
      <c r="D1211" s="220"/>
      <c r="E1211" s="175"/>
      <c r="F1211" s="175">
        <f t="shared" si="33"/>
        <v>0</v>
      </c>
    </row>
    <row r="1212" spans="1:6">
      <c r="A1212" s="246">
        <v>2231</v>
      </c>
      <c r="B1212" s="247" t="s">
        <v>21</v>
      </c>
      <c r="C1212" s="306"/>
      <c r="D1212" s="346">
        <f>SUM(D1213:D1215)</f>
        <v>0</v>
      </c>
      <c r="E1212" s="346">
        <f>SUM(E1213:E1215)</f>
        <v>0</v>
      </c>
      <c r="F1212" s="346">
        <f t="shared" si="33"/>
        <v>0</v>
      </c>
    </row>
    <row r="1213" spans="1:6">
      <c r="A1213" s="217">
        <v>223101</v>
      </c>
      <c r="B1213" s="218" t="s">
        <v>319</v>
      </c>
      <c r="C1213" s="306"/>
      <c r="D1213" s="220"/>
      <c r="E1213" s="220"/>
      <c r="F1213" s="220">
        <f t="shared" si="33"/>
        <v>0</v>
      </c>
    </row>
    <row r="1214" spans="1:6">
      <c r="A1214" s="217">
        <v>223102</v>
      </c>
      <c r="B1214" s="218" t="s">
        <v>22</v>
      </c>
      <c r="C1214" s="306"/>
      <c r="D1214" s="220"/>
      <c r="E1214" s="220"/>
      <c r="F1214" s="220">
        <f t="shared" si="33"/>
        <v>0</v>
      </c>
    </row>
    <row r="1215" spans="1:6">
      <c r="A1215" s="217">
        <v>223103</v>
      </c>
      <c r="B1215" s="218" t="s">
        <v>340</v>
      </c>
      <c r="C1215" s="306"/>
      <c r="D1215" s="220"/>
      <c r="E1215" s="220"/>
      <c r="F1215" s="220">
        <f t="shared" si="33"/>
        <v>0</v>
      </c>
    </row>
    <row r="1216" spans="1:6">
      <c r="A1216" s="246">
        <v>2244</v>
      </c>
      <c r="B1216" s="247" t="s">
        <v>321</v>
      </c>
      <c r="C1216" s="306"/>
      <c r="D1216" s="346">
        <f>SUM(D1217:D1218)</f>
        <v>0</v>
      </c>
      <c r="E1216" s="346">
        <f>SUM(E1217:E1218)</f>
        <v>0</v>
      </c>
      <c r="F1216" s="346">
        <f t="shared" si="33"/>
        <v>0</v>
      </c>
    </row>
    <row r="1217" spans="1:6">
      <c r="A1217" s="217">
        <v>224401</v>
      </c>
      <c r="B1217" s="218" t="s">
        <v>344</v>
      </c>
      <c r="C1217" s="306"/>
      <c r="D1217" s="220"/>
      <c r="E1217" s="173"/>
      <c r="F1217" s="173">
        <f t="shared" si="33"/>
        <v>0</v>
      </c>
    </row>
    <row r="1218" spans="1:6">
      <c r="A1218" s="217">
        <v>224402</v>
      </c>
      <c r="B1218" s="218" t="s">
        <v>323</v>
      </c>
      <c r="C1218" s="306"/>
      <c r="D1218" s="220"/>
      <c r="E1218" s="173"/>
      <c r="F1218" s="173">
        <f t="shared" si="33"/>
        <v>0</v>
      </c>
    </row>
    <row r="1219" spans="1:6">
      <c r="A1219" s="246">
        <v>2281</v>
      </c>
      <c r="B1219" s="247" t="s">
        <v>13</v>
      </c>
      <c r="C1219" s="306"/>
      <c r="D1219" s="52">
        <f>D1220</f>
        <v>0</v>
      </c>
      <c r="E1219" s="52">
        <f>E1220</f>
        <v>0</v>
      </c>
      <c r="F1219" s="52">
        <f t="shared" si="33"/>
        <v>0</v>
      </c>
    </row>
    <row r="1220" spans="1:6">
      <c r="A1220" s="217">
        <v>228101</v>
      </c>
      <c r="B1220" s="218" t="s">
        <v>325</v>
      </c>
      <c r="C1220" s="306"/>
      <c r="D1220" s="220"/>
      <c r="E1220" s="220"/>
      <c r="F1220" s="220">
        <f t="shared" si="33"/>
        <v>0</v>
      </c>
    </row>
    <row r="1221" spans="1:6">
      <c r="A1221" s="253">
        <v>31</v>
      </c>
      <c r="B1221" s="229" t="s">
        <v>356</v>
      </c>
      <c r="C1221" s="242" t="e">
        <f>C1222+#REF!+#REF!+#REF!</f>
        <v>#REF!</v>
      </c>
      <c r="D1221" s="360">
        <f>D1222</f>
        <v>0</v>
      </c>
      <c r="E1221" s="360">
        <f>E1222</f>
        <v>0</v>
      </c>
      <c r="F1221" s="360">
        <f t="shared" si="33"/>
        <v>0</v>
      </c>
    </row>
    <row r="1222" spans="1:6">
      <c r="A1222" s="254">
        <v>311</v>
      </c>
      <c r="B1222" s="244" t="s">
        <v>357</v>
      </c>
      <c r="C1222" s="245" t="e">
        <f>C1225+#REF!+#REF!+#REF!+C1231</f>
        <v>#REF!</v>
      </c>
      <c r="D1222" s="62">
        <f>D1223+D1225</f>
        <v>0</v>
      </c>
      <c r="E1222" s="62">
        <f>E1223+E1225</f>
        <v>0</v>
      </c>
      <c r="F1222" s="62">
        <f t="shared" si="33"/>
        <v>0</v>
      </c>
    </row>
    <row r="1223" spans="1:6">
      <c r="A1223" s="246">
        <v>3111</v>
      </c>
      <c r="B1223" s="247" t="s">
        <v>369</v>
      </c>
      <c r="C1223" s="248"/>
      <c r="D1223" s="52">
        <f>D1224</f>
        <v>0</v>
      </c>
      <c r="E1223" s="52">
        <f>E1224</f>
        <v>0</v>
      </c>
      <c r="F1223" s="52">
        <f>E1223/12</f>
        <v>0</v>
      </c>
    </row>
    <row r="1224" spans="1:6">
      <c r="A1224" s="364">
        <v>311121</v>
      </c>
      <c r="B1224" s="363" t="s">
        <v>368</v>
      </c>
      <c r="C1224" s="364"/>
      <c r="D1224" s="364"/>
      <c r="E1224" s="364"/>
      <c r="F1224" s="364">
        <f>E1224/12</f>
        <v>0</v>
      </c>
    </row>
    <row r="1225" spans="1:6">
      <c r="A1225" s="246">
        <v>3112</v>
      </c>
      <c r="B1225" s="247" t="s">
        <v>355</v>
      </c>
      <c r="C1225" s="248"/>
      <c r="D1225" s="52">
        <f>SUM(D1226:D1228)</f>
        <v>0</v>
      </c>
      <c r="E1225" s="52">
        <f>SUM(E1226:E1228)</f>
        <v>0</v>
      </c>
      <c r="F1225" s="52">
        <f t="shared" ref="F1225:F1228" si="34">E1225/12</f>
        <v>0</v>
      </c>
    </row>
    <row r="1226" spans="1:6">
      <c r="A1226" s="217">
        <v>311211</v>
      </c>
      <c r="B1226" s="218" t="s">
        <v>338</v>
      </c>
      <c r="C1226" s="54"/>
      <c r="D1226" s="174"/>
      <c r="E1226" s="174"/>
      <c r="F1226" s="173">
        <f t="shared" si="34"/>
        <v>0</v>
      </c>
    </row>
    <row r="1227" spans="1:6">
      <c r="A1227" s="217">
        <v>311221</v>
      </c>
      <c r="B1227" s="218" t="s">
        <v>339</v>
      </c>
      <c r="C1227" s="54"/>
      <c r="D1227" s="174"/>
      <c r="E1227" s="174"/>
      <c r="F1227" s="173">
        <f t="shared" si="34"/>
        <v>0</v>
      </c>
    </row>
    <row r="1228" spans="1:6">
      <c r="A1228" s="217">
        <v>311221</v>
      </c>
      <c r="B1228" s="218" t="s">
        <v>27</v>
      </c>
      <c r="C1228" s="54"/>
      <c r="D1228" s="173"/>
      <c r="E1228" s="174"/>
      <c r="F1228" s="173">
        <f t="shared" si="34"/>
        <v>0</v>
      </c>
    </row>
    <row r="1229" spans="1:6" ht="55.75">
      <c r="A1229" s="296">
        <v>30903</v>
      </c>
      <c r="B1229" s="297" t="s">
        <v>293</v>
      </c>
      <c r="C1229" s="306"/>
      <c r="D1229" s="328" t="s">
        <v>261</v>
      </c>
      <c r="E1229" s="328" t="s">
        <v>358</v>
      </c>
      <c r="F1229" s="328" t="s">
        <v>363</v>
      </c>
    </row>
    <row r="1230" spans="1:6">
      <c r="A1230" s="280" t="s">
        <v>5</v>
      </c>
      <c r="B1230" s="281" t="s">
        <v>65</v>
      </c>
      <c r="C1230" s="306"/>
      <c r="D1230" s="343">
        <f>D1231+D1242</f>
        <v>0</v>
      </c>
      <c r="E1230" s="343">
        <f>E1231+E1242</f>
        <v>0</v>
      </c>
      <c r="F1230" s="343">
        <f>E1230/12</f>
        <v>0</v>
      </c>
    </row>
    <row r="1231" spans="1:6">
      <c r="A1231" s="298">
        <v>21</v>
      </c>
      <c r="B1231" s="299" t="s">
        <v>6</v>
      </c>
      <c r="C1231" s="306"/>
      <c r="D1231" s="344">
        <f>D1232</f>
        <v>0</v>
      </c>
      <c r="E1231" s="344">
        <f>E1232</f>
        <v>0</v>
      </c>
      <c r="F1231" s="344">
        <f t="shared" ref="F1231:F1275" si="35">E1231/12</f>
        <v>0</v>
      </c>
    </row>
    <row r="1232" spans="1:6">
      <c r="A1232" s="301">
        <v>211</v>
      </c>
      <c r="B1232" s="302" t="s">
        <v>7</v>
      </c>
      <c r="C1232" s="306"/>
      <c r="D1232" s="345">
        <f>D1233+D1236+D1240</f>
        <v>0</v>
      </c>
      <c r="E1232" s="345">
        <f>E1233+E1236+E1240</f>
        <v>0</v>
      </c>
      <c r="F1232" s="345">
        <f t="shared" si="35"/>
        <v>0</v>
      </c>
    </row>
    <row r="1233" spans="1:6">
      <c r="A1233" s="230">
        <v>2111</v>
      </c>
      <c r="B1233" s="231" t="s">
        <v>8</v>
      </c>
      <c r="C1233" s="306"/>
      <c r="D1233" s="346">
        <f>SUM(D1234:D1235)</f>
        <v>0</v>
      </c>
      <c r="E1233" s="346">
        <f>SUM(E1234:E1235)</f>
        <v>0</v>
      </c>
      <c r="F1233" s="346">
        <f t="shared" si="35"/>
        <v>0</v>
      </c>
    </row>
    <row r="1234" spans="1:6">
      <c r="A1234" s="232">
        <v>211101</v>
      </c>
      <c r="B1234" s="233" t="s">
        <v>9</v>
      </c>
      <c r="C1234" s="306"/>
      <c r="D1234" s="220"/>
      <c r="E1234" s="220"/>
      <c r="F1234" s="220">
        <f t="shared" si="35"/>
        <v>0</v>
      </c>
    </row>
    <row r="1235" spans="1:6">
      <c r="A1235" s="232">
        <v>211106</v>
      </c>
      <c r="B1235" s="233" t="s">
        <v>33</v>
      </c>
      <c r="C1235" s="306"/>
      <c r="D1235" s="220"/>
      <c r="E1235" s="173"/>
      <c r="F1235" s="220">
        <f t="shared" si="35"/>
        <v>0</v>
      </c>
    </row>
    <row r="1236" spans="1:6">
      <c r="A1236" s="230">
        <v>2113</v>
      </c>
      <c r="B1236" s="231" t="s">
        <v>10</v>
      </c>
      <c r="C1236" s="306"/>
      <c r="D1236" s="346">
        <f>SUM(D1237:D1239)</f>
        <v>0</v>
      </c>
      <c r="E1236" s="346">
        <f>SUM(E1237:E1239)</f>
        <v>0</v>
      </c>
      <c r="F1236" s="346">
        <f t="shared" si="35"/>
        <v>0</v>
      </c>
    </row>
    <row r="1237" spans="1:6">
      <c r="A1237" s="232">
        <v>211301</v>
      </c>
      <c r="B1237" s="233" t="s">
        <v>11</v>
      </c>
      <c r="C1237" s="306"/>
      <c r="D1237" s="220"/>
      <c r="E1237" s="220"/>
      <c r="F1237" s="173">
        <f t="shared" si="35"/>
        <v>0</v>
      </c>
    </row>
    <row r="1238" spans="1:6">
      <c r="A1238" s="232">
        <v>211306</v>
      </c>
      <c r="B1238" s="233" t="s">
        <v>34</v>
      </c>
      <c r="C1238" s="306"/>
      <c r="D1238" s="220"/>
      <c r="E1238" s="173"/>
      <c r="F1238" s="173">
        <f t="shared" si="35"/>
        <v>0</v>
      </c>
    </row>
    <row r="1239" spans="1:6">
      <c r="A1239" s="232">
        <v>211308</v>
      </c>
      <c r="B1239" s="233" t="s">
        <v>12</v>
      </c>
      <c r="C1239" s="306"/>
      <c r="D1239" s="220"/>
      <c r="E1239" s="173"/>
      <c r="F1239" s="173">
        <f t="shared" si="35"/>
        <v>0</v>
      </c>
    </row>
    <row r="1240" spans="1:6">
      <c r="A1240" s="230">
        <v>2115</v>
      </c>
      <c r="B1240" s="231" t="s">
        <v>13</v>
      </c>
      <c r="C1240" s="306"/>
      <c r="D1240" s="346">
        <f>D1241</f>
        <v>0</v>
      </c>
      <c r="E1240" s="346">
        <f>E1241</f>
        <v>0</v>
      </c>
      <c r="F1240" s="346">
        <f t="shared" si="35"/>
        <v>0</v>
      </c>
    </row>
    <row r="1241" spans="1:6">
      <c r="A1241" s="232">
        <v>211501</v>
      </c>
      <c r="B1241" s="233" t="s">
        <v>14</v>
      </c>
      <c r="C1241" s="306"/>
      <c r="D1241" s="220"/>
      <c r="E1241" s="173"/>
      <c r="F1241" s="173">
        <f t="shared" si="35"/>
        <v>0</v>
      </c>
    </row>
    <row r="1242" spans="1:6">
      <c r="A1242" s="298">
        <v>22</v>
      </c>
      <c r="B1242" s="299" t="s">
        <v>15</v>
      </c>
      <c r="C1242" s="306"/>
      <c r="D1242" s="344">
        <f>D1243</f>
        <v>0</v>
      </c>
      <c r="E1242" s="344">
        <f>E1243</f>
        <v>0</v>
      </c>
      <c r="F1242" s="344">
        <f t="shared" si="35"/>
        <v>0</v>
      </c>
    </row>
    <row r="1243" spans="1:6">
      <c r="A1243" s="301">
        <v>221</v>
      </c>
      <c r="B1243" s="302" t="s">
        <v>16</v>
      </c>
      <c r="C1243" s="306"/>
      <c r="D1243" s="345">
        <f>D1244+D1248+D1251+D1254+D1257+D1262+D1267+D1271+D1274</f>
        <v>0</v>
      </c>
      <c r="E1243" s="345">
        <f>E1244+E1248+E1251+E1254+E1257+E1262+E1267+E1271+E1274</f>
        <v>0</v>
      </c>
      <c r="F1243" s="345">
        <f t="shared" si="35"/>
        <v>0</v>
      </c>
    </row>
    <row r="1244" spans="1:6">
      <c r="A1244" s="74">
        <v>2211</v>
      </c>
      <c r="B1244" s="194" t="s">
        <v>304</v>
      </c>
      <c r="C1244" s="306"/>
      <c r="D1244" s="346">
        <f>SUM(D1245:D1247)</f>
        <v>0</v>
      </c>
      <c r="E1244" s="346">
        <f>SUM(E1245:E1247)</f>
        <v>0</v>
      </c>
      <c r="F1244" s="346">
        <f t="shared" si="35"/>
        <v>0</v>
      </c>
    </row>
    <row r="1245" spans="1:6">
      <c r="A1245" s="268">
        <v>221101</v>
      </c>
      <c r="B1245" s="269" t="s">
        <v>305</v>
      </c>
      <c r="C1245" s="306"/>
      <c r="D1245" s="220"/>
      <c r="E1245" s="174"/>
      <c r="F1245" s="174">
        <f t="shared" si="35"/>
        <v>0</v>
      </c>
    </row>
    <row r="1246" spans="1:6">
      <c r="A1246" s="268">
        <v>221102</v>
      </c>
      <c r="B1246" s="269" t="s">
        <v>30</v>
      </c>
      <c r="C1246" s="306"/>
      <c r="D1246" s="220"/>
      <c r="E1246" s="174"/>
      <c r="F1246" s="174">
        <f t="shared" si="35"/>
        <v>0</v>
      </c>
    </row>
    <row r="1247" spans="1:6">
      <c r="A1247" s="217">
        <v>221103</v>
      </c>
      <c r="B1247" s="218" t="s">
        <v>306</v>
      </c>
      <c r="C1247" s="306"/>
      <c r="D1247" s="220"/>
      <c r="E1247" s="174"/>
      <c r="F1247" s="174">
        <f t="shared" si="35"/>
        <v>0</v>
      </c>
    </row>
    <row r="1248" spans="1:6">
      <c r="A1248" s="246">
        <v>2221</v>
      </c>
      <c r="B1248" s="247" t="s">
        <v>17</v>
      </c>
      <c r="C1248" s="306"/>
      <c r="D1248" s="346">
        <f>SUM(D1249:D1250)</f>
        <v>0</v>
      </c>
      <c r="E1248" s="52">
        <f>SUM(E1249:E1250)</f>
        <v>0</v>
      </c>
      <c r="F1248" s="52">
        <f t="shared" si="35"/>
        <v>0</v>
      </c>
    </row>
    <row r="1249" spans="1:6">
      <c r="A1249" s="217">
        <v>222101</v>
      </c>
      <c r="B1249" s="218" t="s">
        <v>18</v>
      </c>
      <c r="C1249" s="306"/>
      <c r="D1249" s="220"/>
      <c r="E1249" s="173"/>
      <c r="F1249" s="173">
        <f t="shared" si="35"/>
        <v>0</v>
      </c>
    </row>
    <row r="1250" spans="1:6">
      <c r="A1250" s="217">
        <v>222102</v>
      </c>
      <c r="B1250" s="218" t="s">
        <v>19</v>
      </c>
      <c r="C1250" s="306"/>
      <c r="D1250" s="220"/>
      <c r="E1250" s="173"/>
      <c r="F1250" s="173">
        <f t="shared" si="35"/>
        <v>0</v>
      </c>
    </row>
    <row r="1251" spans="1:6">
      <c r="A1251" s="74">
        <v>2222</v>
      </c>
      <c r="B1251" s="194" t="s">
        <v>20</v>
      </c>
      <c r="C1251" s="306"/>
      <c r="D1251" s="346">
        <f>SUM(D1252:D1253)</f>
        <v>0</v>
      </c>
      <c r="E1251" s="346">
        <f>SUM(E1252:E1253)</f>
        <v>0</v>
      </c>
      <c r="F1251" s="346">
        <f t="shared" si="35"/>
        <v>0</v>
      </c>
    </row>
    <row r="1252" spans="1:6">
      <c r="A1252" s="217">
        <v>222201</v>
      </c>
      <c r="B1252" s="218" t="s">
        <v>309</v>
      </c>
      <c r="C1252" s="306"/>
      <c r="D1252" s="220"/>
      <c r="E1252" s="220"/>
      <c r="F1252" s="173">
        <f t="shared" si="35"/>
        <v>0</v>
      </c>
    </row>
    <row r="1253" spans="1:6">
      <c r="A1253" s="217">
        <v>222202</v>
      </c>
      <c r="B1253" s="218" t="s">
        <v>328</v>
      </c>
      <c r="C1253" s="306"/>
      <c r="D1253" s="220"/>
      <c r="E1253" s="173"/>
      <c r="F1253" s="173">
        <f t="shared" si="35"/>
        <v>0</v>
      </c>
    </row>
    <row r="1254" spans="1:6">
      <c r="A1254" s="246">
        <v>2223</v>
      </c>
      <c r="B1254" s="247" t="s">
        <v>23</v>
      </c>
      <c r="C1254" s="306"/>
      <c r="D1254" s="346">
        <f>SUM(D1255:D1256)</f>
        <v>0</v>
      </c>
      <c r="E1254" s="346">
        <f>SUM(E1255:E1256)</f>
        <v>0</v>
      </c>
      <c r="F1254" s="346">
        <f t="shared" si="35"/>
        <v>0</v>
      </c>
    </row>
    <row r="1255" spans="1:6">
      <c r="A1255" s="217">
        <v>222301</v>
      </c>
      <c r="B1255" s="218" t="s">
        <v>310</v>
      </c>
      <c r="C1255" s="306"/>
      <c r="D1255" s="220"/>
      <c r="E1255" s="175"/>
      <c r="F1255" s="220">
        <f t="shared" si="35"/>
        <v>0</v>
      </c>
    </row>
    <row r="1256" spans="1:6">
      <c r="A1256" s="217">
        <v>222302</v>
      </c>
      <c r="B1256" s="218" t="s">
        <v>24</v>
      </c>
      <c r="C1256" s="306"/>
      <c r="D1256" s="220"/>
      <c r="E1256" s="220"/>
      <c r="F1256" s="220">
        <f t="shared" si="35"/>
        <v>0</v>
      </c>
    </row>
    <row r="1257" spans="1:6">
      <c r="A1257" s="246">
        <v>2224</v>
      </c>
      <c r="B1257" s="194" t="s">
        <v>330</v>
      </c>
      <c r="C1257" s="306"/>
      <c r="D1257" s="346">
        <f>SUM(D1258:D1261)</f>
        <v>0</v>
      </c>
      <c r="E1257" s="346">
        <f>SUM(E1258:E1261)</f>
        <v>0</v>
      </c>
      <c r="F1257" s="346">
        <f t="shared" si="35"/>
        <v>0</v>
      </c>
    </row>
    <row r="1258" spans="1:6">
      <c r="A1258" s="217">
        <v>222401</v>
      </c>
      <c r="B1258" s="218" t="s">
        <v>343</v>
      </c>
      <c r="C1258" s="306"/>
      <c r="D1258" s="220"/>
      <c r="E1258" s="220"/>
      <c r="F1258" s="220">
        <f t="shared" si="35"/>
        <v>0</v>
      </c>
    </row>
    <row r="1259" spans="1:6">
      <c r="A1259" s="217">
        <v>222403</v>
      </c>
      <c r="B1259" s="218" t="s">
        <v>312</v>
      </c>
      <c r="C1259" s="306"/>
      <c r="D1259" s="220"/>
      <c r="E1259" s="220"/>
      <c r="F1259" s="220">
        <f t="shared" si="35"/>
        <v>0</v>
      </c>
    </row>
    <row r="1260" spans="1:6">
      <c r="A1260" s="217">
        <v>222404</v>
      </c>
      <c r="B1260" s="218" t="s">
        <v>313</v>
      </c>
      <c r="C1260" s="306"/>
      <c r="D1260" s="220"/>
      <c r="E1260" s="220"/>
      <c r="F1260" s="220">
        <f t="shared" si="35"/>
        <v>0</v>
      </c>
    </row>
    <row r="1261" spans="1:6">
      <c r="A1261" s="217">
        <v>222405</v>
      </c>
      <c r="B1261" s="218" t="s">
        <v>314</v>
      </c>
      <c r="C1261" s="306"/>
      <c r="D1261" s="220"/>
      <c r="E1261" s="220"/>
      <c r="F1261" s="220">
        <f t="shared" si="35"/>
        <v>0</v>
      </c>
    </row>
    <row r="1262" spans="1:6">
      <c r="A1262" s="74">
        <v>2225</v>
      </c>
      <c r="B1262" s="194" t="s">
        <v>331</v>
      </c>
      <c r="C1262" s="306"/>
      <c r="D1262" s="346">
        <f>SUM(D1263:D1266)</f>
        <v>0</v>
      </c>
      <c r="E1262" s="346">
        <f>SUM(E1263:E1266)</f>
        <v>0</v>
      </c>
      <c r="F1262" s="346">
        <f t="shared" si="35"/>
        <v>0</v>
      </c>
    </row>
    <row r="1263" spans="1:6">
      <c r="A1263" s="217">
        <v>222501</v>
      </c>
      <c r="B1263" s="218" t="s">
        <v>315</v>
      </c>
      <c r="C1263" s="306"/>
      <c r="D1263" s="220"/>
      <c r="E1263" s="173"/>
      <c r="F1263" s="173">
        <f t="shared" si="35"/>
        <v>0</v>
      </c>
    </row>
    <row r="1264" spans="1:6">
      <c r="A1264" s="217">
        <v>222502</v>
      </c>
      <c r="B1264" s="218" t="s">
        <v>316</v>
      </c>
      <c r="C1264" s="306"/>
      <c r="D1264" s="220"/>
      <c r="E1264" s="173"/>
      <c r="F1264" s="173">
        <f t="shared" si="35"/>
        <v>0</v>
      </c>
    </row>
    <row r="1265" spans="1:6">
      <c r="A1265" s="217">
        <v>222503</v>
      </c>
      <c r="B1265" s="218" t="s">
        <v>317</v>
      </c>
      <c r="C1265" s="306"/>
      <c r="D1265" s="220"/>
      <c r="E1265" s="173"/>
      <c r="F1265" s="173">
        <f t="shared" si="35"/>
        <v>0</v>
      </c>
    </row>
    <row r="1266" spans="1:6">
      <c r="A1266" s="217">
        <v>222504</v>
      </c>
      <c r="B1266" s="218" t="s">
        <v>318</v>
      </c>
      <c r="C1266" s="306"/>
      <c r="D1266" s="220"/>
      <c r="E1266" s="173"/>
      <c r="F1266" s="173">
        <f t="shared" si="35"/>
        <v>0</v>
      </c>
    </row>
    <row r="1267" spans="1:6">
      <c r="A1267" s="246">
        <v>2231</v>
      </c>
      <c r="B1267" s="247" t="s">
        <v>21</v>
      </c>
      <c r="C1267" s="306"/>
      <c r="D1267" s="346">
        <f>SUM(D1268:D1270)</f>
        <v>0</v>
      </c>
      <c r="E1267" s="52">
        <f>SUM(E1268:E1270)</f>
        <v>0</v>
      </c>
      <c r="F1267" s="52">
        <f t="shared" si="35"/>
        <v>0</v>
      </c>
    </row>
    <row r="1268" spans="1:6">
      <c r="A1268" s="217">
        <v>223101</v>
      </c>
      <c r="B1268" s="218" t="s">
        <v>319</v>
      </c>
      <c r="C1268" s="306"/>
      <c r="D1268" s="220"/>
      <c r="E1268" s="173"/>
      <c r="F1268" s="174">
        <f t="shared" si="35"/>
        <v>0</v>
      </c>
    </row>
    <row r="1269" spans="1:6">
      <c r="A1269" s="217">
        <v>223102</v>
      </c>
      <c r="B1269" s="218" t="s">
        <v>22</v>
      </c>
      <c r="C1269" s="306"/>
      <c r="D1269" s="220"/>
      <c r="E1269" s="173"/>
      <c r="F1269" s="174">
        <f t="shared" si="35"/>
        <v>0</v>
      </c>
    </row>
    <row r="1270" spans="1:6">
      <c r="A1270" s="217">
        <v>223103</v>
      </c>
      <c r="B1270" s="218" t="s">
        <v>340</v>
      </c>
      <c r="C1270" s="306"/>
      <c r="D1270" s="220"/>
      <c r="E1270" s="174"/>
      <c r="F1270" s="174">
        <f t="shared" si="35"/>
        <v>0</v>
      </c>
    </row>
    <row r="1271" spans="1:6">
      <c r="A1271" s="246">
        <v>2244</v>
      </c>
      <c r="B1271" s="247" t="s">
        <v>321</v>
      </c>
      <c r="C1271" s="306"/>
      <c r="D1271" s="346">
        <f>SUM(D1272:D1273)</f>
        <v>0</v>
      </c>
      <c r="E1271" s="52">
        <f>SUM(E1272:E1273)</f>
        <v>0</v>
      </c>
      <c r="F1271" s="52">
        <f t="shared" si="35"/>
        <v>0</v>
      </c>
    </row>
    <row r="1272" spans="1:6">
      <c r="A1272" s="217">
        <v>224401</v>
      </c>
      <c r="B1272" s="218" t="s">
        <v>344</v>
      </c>
      <c r="C1272" s="306"/>
      <c r="D1272" s="220"/>
      <c r="E1272" s="173"/>
      <c r="F1272" s="173">
        <f t="shared" si="35"/>
        <v>0</v>
      </c>
    </row>
    <row r="1273" spans="1:6">
      <c r="A1273" s="217">
        <v>224402</v>
      </c>
      <c r="B1273" s="218" t="s">
        <v>323</v>
      </c>
      <c r="C1273" s="306"/>
      <c r="D1273" s="220"/>
      <c r="E1273" s="173"/>
      <c r="F1273" s="173">
        <f t="shared" si="35"/>
        <v>0</v>
      </c>
    </row>
    <row r="1274" spans="1:6">
      <c r="A1274" s="246">
        <v>2281</v>
      </c>
      <c r="B1274" s="247" t="s">
        <v>13</v>
      </c>
      <c r="C1274" s="306"/>
      <c r="D1274" s="346">
        <f>D1275</f>
        <v>0</v>
      </c>
      <c r="E1274" s="346">
        <f>E1275</f>
        <v>0</v>
      </c>
      <c r="F1274" s="346">
        <f t="shared" si="35"/>
        <v>0</v>
      </c>
    </row>
    <row r="1275" spans="1:6">
      <c r="A1275" s="217">
        <v>228101</v>
      </c>
      <c r="B1275" s="218" t="s">
        <v>325</v>
      </c>
      <c r="C1275" s="306"/>
      <c r="D1275" s="220"/>
      <c r="E1275" s="220"/>
      <c r="F1275" s="220">
        <f t="shared" si="35"/>
        <v>0</v>
      </c>
    </row>
    <row r="1276" spans="1:6" ht="55.75">
      <c r="A1276" s="225">
        <v>40101</v>
      </c>
      <c r="B1276" s="255" t="s">
        <v>58</v>
      </c>
      <c r="C1276" s="306"/>
      <c r="D1276" s="169" t="s">
        <v>261</v>
      </c>
      <c r="E1276" s="169" t="s">
        <v>358</v>
      </c>
      <c r="F1276" s="169" t="s">
        <v>363</v>
      </c>
    </row>
    <row r="1277" spans="1:6">
      <c r="A1277" s="234" t="s">
        <v>5</v>
      </c>
      <c r="B1277" s="235" t="s">
        <v>65</v>
      </c>
      <c r="C1277" s="306"/>
      <c r="D1277" s="158">
        <f>D1278+D1291+D1328</f>
        <v>0</v>
      </c>
      <c r="E1277" s="158">
        <f>E1278+E1291+E1328</f>
        <v>0</v>
      </c>
      <c r="F1277" s="158">
        <f>E1277/12</f>
        <v>0</v>
      </c>
    </row>
    <row r="1278" spans="1:6">
      <c r="A1278" s="228">
        <v>21</v>
      </c>
      <c r="B1278" s="229" t="s">
        <v>6</v>
      </c>
      <c r="C1278" s="306"/>
      <c r="D1278" s="172">
        <f>D1279</f>
        <v>0</v>
      </c>
      <c r="E1278" s="172">
        <f>E1279</f>
        <v>0</v>
      </c>
      <c r="F1278" s="172">
        <f t="shared" ref="F1278:F1335" si="36">E1278/12</f>
        <v>0</v>
      </c>
    </row>
    <row r="1279" spans="1:6">
      <c r="A1279" s="85">
        <v>211</v>
      </c>
      <c r="B1279" s="86" t="s">
        <v>7</v>
      </c>
      <c r="C1279" s="306"/>
      <c r="D1279" s="62">
        <f>D1280+D1284+D1289</f>
        <v>0</v>
      </c>
      <c r="E1279" s="62">
        <f>E1280+E1284+E1289</f>
        <v>0</v>
      </c>
      <c r="F1279" s="62">
        <f t="shared" si="36"/>
        <v>0</v>
      </c>
    </row>
    <row r="1280" spans="1:6">
      <c r="A1280" s="74">
        <v>2111</v>
      </c>
      <c r="B1280" s="194" t="s">
        <v>8</v>
      </c>
      <c r="C1280" s="306"/>
      <c r="D1280" s="52">
        <f>SUM(D1281:D1283)</f>
        <v>0</v>
      </c>
      <c r="E1280" s="52">
        <f>SUM(E1281:E1283)</f>
        <v>0</v>
      </c>
      <c r="F1280" s="52">
        <f t="shared" si="36"/>
        <v>0</v>
      </c>
    </row>
    <row r="1281" spans="1:6">
      <c r="A1281" s="217">
        <v>211101</v>
      </c>
      <c r="B1281" s="218" t="s">
        <v>9</v>
      </c>
      <c r="C1281" s="306"/>
      <c r="D1281" s="173"/>
      <c r="E1281" s="173"/>
      <c r="F1281" s="173">
        <f t="shared" si="36"/>
        <v>0</v>
      </c>
    </row>
    <row r="1282" spans="1:6">
      <c r="A1282" s="217">
        <v>211103</v>
      </c>
      <c r="B1282" s="218" t="s">
        <v>351</v>
      </c>
      <c r="C1282" s="306"/>
      <c r="D1282" s="173"/>
      <c r="E1282" s="173"/>
      <c r="F1282" s="173">
        <f t="shared" si="36"/>
        <v>0</v>
      </c>
    </row>
    <row r="1283" spans="1:6">
      <c r="A1283" s="217">
        <v>211106</v>
      </c>
      <c r="B1283" s="218" t="s">
        <v>56</v>
      </c>
      <c r="C1283" s="306"/>
      <c r="D1283" s="173"/>
      <c r="E1283" s="173"/>
      <c r="F1283" s="173">
        <f t="shared" si="36"/>
        <v>0</v>
      </c>
    </row>
    <row r="1284" spans="1:6">
      <c r="A1284" s="74">
        <v>2113</v>
      </c>
      <c r="B1284" s="194" t="s">
        <v>10</v>
      </c>
      <c r="C1284" s="306"/>
      <c r="D1284" s="52">
        <f>SUM(D1285:D1288)</f>
        <v>0</v>
      </c>
      <c r="E1284" s="52">
        <f>SUM(E1285:E1288)</f>
        <v>0</v>
      </c>
      <c r="F1284" s="52">
        <f t="shared" si="36"/>
        <v>0</v>
      </c>
    </row>
    <row r="1285" spans="1:6">
      <c r="A1285" s="217">
        <v>211301</v>
      </c>
      <c r="B1285" s="218" t="s">
        <v>11</v>
      </c>
      <c r="C1285" s="306"/>
      <c r="D1285" s="174"/>
      <c r="E1285" s="174"/>
      <c r="F1285" s="174">
        <f t="shared" si="36"/>
        <v>0</v>
      </c>
    </row>
    <row r="1286" spans="1:6">
      <c r="A1286" s="217">
        <v>211303</v>
      </c>
      <c r="B1286" s="218" t="s">
        <v>366</v>
      </c>
      <c r="C1286" s="306"/>
      <c r="D1286" s="174"/>
      <c r="E1286" s="174"/>
      <c r="F1286" s="174">
        <f>E1286/12</f>
        <v>0</v>
      </c>
    </row>
    <row r="1287" spans="1:6">
      <c r="A1287" s="217">
        <v>211306</v>
      </c>
      <c r="B1287" s="218" t="s">
        <v>34</v>
      </c>
      <c r="C1287" s="306"/>
      <c r="D1287" s="173"/>
      <c r="E1287" s="174"/>
      <c r="F1287" s="174">
        <f t="shared" si="36"/>
        <v>0</v>
      </c>
    </row>
    <row r="1288" spans="1:6">
      <c r="A1288" s="217">
        <v>211308</v>
      </c>
      <c r="B1288" s="218" t="s">
        <v>12</v>
      </c>
      <c r="C1288" s="306"/>
      <c r="D1288" s="173"/>
      <c r="E1288" s="174"/>
      <c r="F1288" s="174">
        <f t="shared" si="36"/>
        <v>0</v>
      </c>
    </row>
    <row r="1289" spans="1:6">
      <c r="A1289" s="74">
        <v>2115</v>
      </c>
      <c r="B1289" s="194" t="s">
        <v>13</v>
      </c>
      <c r="C1289" s="306"/>
      <c r="D1289" s="52">
        <f>D1290</f>
        <v>0</v>
      </c>
      <c r="E1289" s="52">
        <f>E1290</f>
        <v>0</v>
      </c>
      <c r="F1289" s="52">
        <f t="shared" si="36"/>
        <v>0</v>
      </c>
    </row>
    <row r="1290" spans="1:6">
      <c r="A1290" s="217">
        <v>211501</v>
      </c>
      <c r="B1290" s="218" t="s">
        <v>14</v>
      </c>
      <c r="C1290" s="306"/>
      <c r="D1290" s="174"/>
      <c r="E1290" s="174"/>
      <c r="F1290" s="174">
        <f t="shared" si="36"/>
        <v>0</v>
      </c>
    </row>
    <row r="1291" spans="1:6">
      <c r="A1291" s="228">
        <v>22</v>
      </c>
      <c r="B1291" s="229" t="s">
        <v>15</v>
      </c>
      <c r="C1291" s="306"/>
      <c r="D1291" s="172">
        <f>D1292</f>
        <v>0</v>
      </c>
      <c r="E1291" s="172">
        <f>E1292</f>
        <v>0</v>
      </c>
      <c r="F1291" s="172">
        <f t="shared" si="36"/>
        <v>0</v>
      </c>
    </row>
    <row r="1292" spans="1:6">
      <c r="A1292" s="85">
        <v>221</v>
      </c>
      <c r="B1292" s="86" t="s">
        <v>16</v>
      </c>
      <c r="C1292" s="306"/>
      <c r="D1292" s="62">
        <f>D1293+D1297+D1300+D1303+D1306+D1312+D1317+D1324+D1326+D1321</f>
        <v>0</v>
      </c>
      <c r="E1292" s="62">
        <f>E1293+E1297+E1300+E1303+E1306+E1312+E1317+E1324+E1326+E1321</f>
        <v>0</v>
      </c>
      <c r="F1292" s="62">
        <f t="shared" si="36"/>
        <v>0</v>
      </c>
    </row>
    <row r="1293" spans="1:6">
      <c r="A1293" s="74">
        <v>2211</v>
      </c>
      <c r="B1293" s="194" t="s">
        <v>304</v>
      </c>
      <c r="C1293" s="306"/>
      <c r="D1293" s="52">
        <f>SUM(D1294:D1296)</f>
        <v>0</v>
      </c>
      <c r="E1293" s="52">
        <f>SUM(E1294:E1296)</f>
        <v>0</v>
      </c>
      <c r="F1293" s="52">
        <f t="shared" si="36"/>
        <v>0</v>
      </c>
    </row>
    <row r="1294" spans="1:6">
      <c r="A1294" s="268">
        <v>221101</v>
      </c>
      <c r="B1294" s="269" t="s">
        <v>305</v>
      </c>
      <c r="C1294" s="306"/>
      <c r="D1294" s="173"/>
      <c r="E1294" s="173"/>
      <c r="F1294" s="173">
        <f t="shared" si="36"/>
        <v>0</v>
      </c>
    </row>
    <row r="1295" spans="1:6">
      <c r="A1295" s="268">
        <v>221102</v>
      </c>
      <c r="B1295" s="269" t="s">
        <v>30</v>
      </c>
      <c r="C1295" s="306"/>
      <c r="D1295" s="173"/>
      <c r="E1295" s="173"/>
      <c r="F1295" s="173">
        <f t="shared" si="36"/>
        <v>0</v>
      </c>
    </row>
    <row r="1296" spans="1:6">
      <c r="A1296" s="217">
        <v>221103</v>
      </c>
      <c r="B1296" s="218" t="s">
        <v>306</v>
      </c>
      <c r="C1296" s="306"/>
      <c r="D1296" s="173"/>
      <c r="E1296" s="173"/>
      <c r="F1296" s="173">
        <f t="shared" si="36"/>
        <v>0</v>
      </c>
    </row>
    <row r="1297" spans="1:6">
      <c r="A1297" s="246">
        <v>2221</v>
      </c>
      <c r="B1297" s="247" t="s">
        <v>17</v>
      </c>
      <c r="C1297" s="306"/>
      <c r="D1297" s="52">
        <f>SUM(D1298:D1299)</f>
        <v>0</v>
      </c>
      <c r="E1297" s="52">
        <f>SUM(E1298:E1299)</f>
        <v>0</v>
      </c>
      <c r="F1297" s="52">
        <f t="shared" si="36"/>
        <v>0</v>
      </c>
    </row>
    <row r="1298" spans="1:6">
      <c r="A1298" s="217">
        <v>222101</v>
      </c>
      <c r="B1298" s="218" t="s">
        <v>18</v>
      </c>
      <c r="C1298" s="306"/>
      <c r="D1298" s="174"/>
      <c r="E1298" s="175"/>
      <c r="F1298" s="175">
        <f t="shared" si="36"/>
        <v>0</v>
      </c>
    </row>
    <row r="1299" spans="1:6">
      <c r="A1299" s="217">
        <v>222102</v>
      </c>
      <c r="B1299" s="218" t="s">
        <v>19</v>
      </c>
      <c r="C1299" s="306"/>
      <c r="D1299" s="174"/>
      <c r="E1299" s="174"/>
      <c r="F1299" s="175">
        <f t="shared" si="36"/>
        <v>0</v>
      </c>
    </row>
    <row r="1300" spans="1:6">
      <c r="A1300" s="74">
        <v>2222</v>
      </c>
      <c r="B1300" s="194" t="s">
        <v>20</v>
      </c>
      <c r="C1300" s="306"/>
      <c r="D1300" s="52">
        <f>SUM(D1301:D1302)</f>
        <v>0</v>
      </c>
      <c r="E1300" s="52">
        <f>SUM(E1301:E1302)</f>
        <v>0</v>
      </c>
      <c r="F1300" s="52">
        <f t="shared" si="36"/>
        <v>0</v>
      </c>
    </row>
    <row r="1301" spans="1:6">
      <c r="A1301" s="217">
        <v>222201</v>
      </c>
      <c r="B1301" s="218" t="s">
        <v>309</v>
      </c>
      <c r="C1301" s="306"/>
      <c r="D1301" s="173"/>
      <c r="E1301" s="173"/>
      <c r="F1301" s="173">
        <f t="shared" si="36"/>
        <v>0</v>
      </c>
    </row>
    <row r="1302" spans="1:6">
      <c r="A1302" s="217">
        <v>222202</v>
      </c>
      <c r="B1302" s="218" t="s">
        <v>328</v>
      </c>
      <c r="C1302" s="306"/>
      <c r="D1302" s="173"/>
      <c r="E1302" s="173"/>
      <c r="F1302" s="173">
        <f t="shared" si="36"/>
        <v>0</v>
      </c>
    </row>
    <row r="1303" spans="1:6">
      <c r="A1303" s="246">
        <v>2223</v>
      </c>
      <c r="B1303" s="247" t="s">
        <v>23</v>
      </c>
      <c r="C1303" s="306"/>
      <c r="D1303" s="52">
        <f>SUM(D1304:D1305)</f>
        <v>0</v>
      </c>
      <c r="E1303" s="52">
        <f>SUM(E1304:E1305)</f>
        <v>0</v>
      </c>
      <c r="F1303" s="52">
        <f t="shared" si="36"/>
        <v>0</v>
      </c>
    </row>
    <row r="1304" spans="1:6">
      <c r="A1304" s="217">
        <v>222301</v>
      </c>
      <c r="B1304" s="218" t="s">
        <v>310</v>
      </c>
      <c r="C1304" s="306"/>
      <c r="D1304" s="173"/>
      <c r="E1304" s="173"/>
      <c r="F1304" s="173">
        <f t="shared" si="36"/>
        <v>0</v>
      </c>
    </row>
    <row r="1305" spans="1:6">
      <c r="A1305" s="217">
        <v>222302</v>
      </c>
      <c r="B1305" s="218" t="s">
        <v>24</v>
      </c>
      <c r="C1305" s="306"/>
      <c r="D1305" s="173"/>
      <c r="E1305" s="173"/>
      <c r="F1305" s="173">
        <f t="shared" si="36"/>
        <v>0</v>
      </c>
    </row>
    <row r="1306" spans="1:6">
      <c r="A1306" s="246">
        <v>2224</v>
      </c>
      <c r="B1306" s="194" t="s">
        <v>330</v>
      </c>
      <c r="C1306" s="306"/>
      <c r="D1306" s="52">
        <f>SUM(D1307:D1311)</f>
        <v>0</v>
      </c>
      <c r="E1306" s="52">
        <f>SUM(E1307:E1311)</f>
        <v>0</v>
      </c>
      <c r="F1306" s="52">
        <f t="shared" si="36"/>
        <v>0</v>
      </c>
    </row>
    <row r="1307" spans="1:6">
      <c r="A1307" s="217">
        <v>222401</v>
      </c>
      <c r="B1307" s="218" t="s">
        <v>343</v>
      </c>
      <c r="C1307" s="306"/>
      <c r="D1307" s="173"/>
      <c r="E1307" s="173"/>
      <c r="F1307" s="173">
        <f t="shared" si="36"/>
        <v>0</v>
      </c>
    </row>
    <row r="1308" spans="1:6">
      <c r="A1308" s="217">
        <v>222403</v>
      </c>
      <c r="B1308" s="218" t="s">
        <v>312</v>
      </c>
      <c r="C1308" s="306"/>
      <c r="D1308" s="173"/>
      <c r="E1308" s="173"/>
      <c r="F1308" s="173">
        <f t="shared" si="36"/>
        <v>0</v>
      </c>
    </row>
    <row r="1309" spans="1:6">
      <c r="A1309" s="217">
        <v>222404</v>
      </c>
      <c r="B1309" s="218" t="s">
        <v>313</v>
      </c>
      <c r="C1309" s="306"/>
      <c r="D1309" s="173"/>
      <c r="E1309" s="173"/>
      <c r="F1309" s="173">
        <f t="shared" si="36"/>
        <v>0</v>
      </c>
    </row>
    <row r="1310" spans="1:6">
      <c r="A1310" s="217">
        <v>222405</v>
      </c>
      <c r="B1310" s="218" t="s">
        <v>314</v>
      </c>
      <c r="C1310" s="306"/>
      <c r="D1310" s="173"/>
      <c r="E1310" s="173"/>
      <c r="F1310" s="173">
        <f t="shared" si="36"/>
        <v>0</v>
      </c>
    </row>
    <row r="1311" spans="1:6">
      <c r="A1311" s="217">
        <v>222406</v>
      </c>
      <c r="B1311" s="218" t="s">
        <v>352</v>
      </c>
      <c r="C1311" s="306"/>
      <c r="D1311" s="173"/>
      <c r="E1311" s="173"/>
      <c r="F1311" s="173">
        <f t="shared" si="36"/>
        <v>0</v>
      </c>
    </row>
    <row r="1312" spans="1:6">
      <c r="A1312" s="74">
        <v>2225</v>
      </c>
      <c r="B1312" s="194" t="s">
        <v>331</v>
      </c>
      <c r="C1312" s="306"/>
      <c r="D1312" s="52">
        <f>SUM(D1313:D1316)</f>
        <v>0</v>
      </c>
      <c r="E1312" s="52">
        <f>SUM(E1313:E1316)</f>
        <v>0</v>
      </c>
      <c r="F1312" s="52">
        <f t="shared" si="36"/>
        <v>0</v>
      </c>
    </row>
    <row r="1313" spans="1:6">
      <c r="A1313" s="217">
        <v>222501</v>
      </c>
      <c r="B1313" s="218" t="s">
        <v>315</v>
      </c>
      <c r="C1313" s="306"/>
      <c r="D1313" s="173"/>
      <c r="E1313" s="173"/>
      <c r="F1313" s="173">
        <f t="shared" si="36"/>
        <v>0</v>
      </c>
    </row>
    <row r="1314" spans="1:6">
      <c r="A1314" s="217">
        <v>222502</v>
      </c>
      <c r="B1314" s="218" t="s">
        <v>316</v>
      </c>
      <c r="C1314" s="306"/>
      <c r="D1314" s="173"/>
      <c r="E1314" s="173"/>
      <c r="F1314" s="173">
        <f t="shared" si="36"/>
        <v>0</v>
      </c>
    </row>
    <row r="1315" spans="1:6">
      <c r="A1315" s="217">
        <v>222503</v>
      </c>
      <c r="B1315" s="218" t="s">
        <v>317</v>
      </c>
      <c r="C1315" s="306"/>
      <c r="D1315" s="173"/>
      <c r="E1315" s="173"/>
      <c r="F1315" s="173">
        <f t="shared" si="36"/>
        <v>0</v>
      </c>
    </row>
    <row r="1316" spans="1:6">
      <c r="A1316" s="217">
        <v>222504</v>
      </c>
      <c r="B1316" s="218" t="s">
        <v>318</v>
      </c>
      <c r="C1316" s="306"/>
      <c r="D1316" s="173"/>
      <c r="E1316" s="173"/>
      <c r="F1316" s="173">
        <f t="shared" si="36"/>
        <v>0</v>
      </c>
    </row>
    <row r="1317" spans="1:6">
      <c r="A1317" s="246">
        <v>2231</v>
      </c>
      <c r="B1317" s="247" t="s">
        <v>21</v>
      </c>
      <c r="C1317" s="306"/>
      <c r="D1317" s="52">
        <f>SUM(D1318:D1320)</f>
        <v>0</v>
      </c>
      <c r="E1317" s="52">
        <f>SUM(E1318:E1320)</f>
        <v>0</v>
      </c>
      <c r="F1317" s="52">
        <f t="shared" si="36"/>
        <v>0</v>
      </c>
    </row>
    <row r="1318" spans="1:6">
      <c r="A1318" s="217">
        <v>223101</v>
      </c>
      <c r="B1318" s="218" t="s">
        <v>319</v>
      </c>
      <c r="C1318" s="306"/>
      <c r="D1318" s="173"/>
      <c r="E1318" s="173"/>
      <c r="F1318" s="173">
        <f t="shared" si="36"/>
        <v>0</v>
      </c>
    </row>
    <row r="1319" spans="1:6">
      <c r="A1319" s="217">
        <v>223102</v>
      </c>
      <c r="B1319" s="218" t="s">
        <v>22</v>
      </c>
      <c r="C1319" s="306"/>
      <c r="D1319" s="173"/>
      <c r="E1319" s="173"/>
      <c r="F1319" s="173">
        <f t="shared" si="36"/>
        <v>0</v>
      </c>
    </row>
    <row r="1320" spans="1:6">
      <c r="A1320" s="217">
        <v>223103</v>
      </c>
      <c r="B1320" s="218" t="s">
        <v>340</v>
      </c>
      <c r="C1320" s="306"/>
      <c r="D1320" s="173"/>
      <c r="E1320" s="173"/>
      <c r="F1320" s="173">
        <f t="shared" si="36"/>
        <v>0</v>
      </c>
    </row>
    <row r="1321" spans="1:6">
      <c r="A1321" s="246">
        <v>2244</v>
      </c>
      <c r="B1321" s="247" t="s">
        <v>321</v>
      </c>
      <c r="C1321" s="306"/>
      <c r="D1321" s="52">
        <f>SUM(D1322:D1323)</f>
        <v>0</v>
      </c>
      <c r="E1321" s="52">
        <f>SUM(E1322:E1323)</f>
        <v>0</v>
      </c>
      <c r="F1321" s="52">
        <f>E1321/12</f>
        <v>0</v>
      </c>
    </row>
    <row r="1322" spans="1:6">
      <c r="A1322" s="217">
        <v>224401</v>
      </c>
      <c r="B1322" s="218" t="s">
        <v>344</v>
      </c>
      <c r="C1322" s="306"/>
      <c r="D1322" s="173"/>
      <c r="E1322" s="173"/>
      <c r="F1322" s="173">
        <f>E1322/12</f>
        <v>0</v>
      </c>
    </row>
    <row r="1323" spans="1:6">
      <c r="A1323" s="217">
        <v>224402</v>
      </c>
      <c r="B1323" s="218" t="s">
        <v>323</v>
      </c>
      <c r="C1323" s="306"/>
      <c r="D1323" s="173"/>
      <c r="E1323" s="173"/>
      <c r="F1323" s="173">
        <f>E1323/12</f>
        <v>0</v>
      </c>
    </row>
    <row r="1324" spans="1:6">
      <c r="A1324" s="74">
        <v>2261</v>
      </c>
      <c r="B1324" s="194" t="s">
        <v>28</v>
      </c>
      <c r="C1324" s="306"/>
      <c r="D1324" s="52">
        <f>D1325</f>
        <v>0</v>
      </c>
      <c r="E1324" s="52">
        <f>E1325</f>
        <v>0</v>
      </c>
      <c r="F1324" s="52">
        <f t="shared" si="36"/>
        <v>0</v>
      </c>
    </row>
    <row r="1325" spans="1:6">
      <c r="A1325" s="217">
        <v>226102</v>
      </c>
      <c r="B1325" s="218" t="s">
        <v>353</v>
      </c>
      <c r="C1325" s="306"/>
      <c r="D1325" s="173"/>
      <c r="E1325" s="173"/>
      <c r="F1325" s="173">
        <f t="shared" si="36"/>
        <v>0</v>
      </c>
    </row>
    <row r="1326" spans="1:6">
      <c r="A1326" s="246">
        <v>2281</v>
      </c>
      <c r="B1326" s="247" t="s">
        <v>13</v>
      </c>
      <c r="C1326" s="306"/>
      <c r="D1326" s="52">
        <f>D1327</f>
        <v>0</v>
      </c>
      <c r="E1326" s="52">
        <f>E1327</f>
        <v>0</v>
      </c>
      <c r="F1326" s="52">
        <f t="shared" si="36"/>
        <v>0</v>
      </c>
    </row>
    <row r="1327" spans="1:6">
      <c r="A1327" s="217">
        <v>228101</v>
      </c>
      <c r="B1327" s="218" t="s">
        <v>325</v>
      </c>
      <c r="C1327" s="306"/>
      <c r="D1327" s="174"/>
      <c r="E1327" s="173"/>
      <c r="F1327" s="173">
        <f t="shared" si="36"/>
        <v>0</v>
      </c>
    </row>
    <row r="1328" spans="1:6">
      <c r="A1328" s="253">
        <v>31</v>
      </c>
      <c r="B1328" s="229" t="s">
        <v>356</v>
      </c>
      <c r="C1328" s="242" t="e">
        <f>C1329+#REF!+#REF!+#REF!</f>
        <v>#REF!</v>
      </c>
      <c r="D1328" s="360">
        <f>D1329</f>
        <v>0</v>
      </c>
      <c r="E1328" s="360">
        <f>E1329</f>
        <v>0</v>
      </c>
      <c r="F1328" s="360">
        <f t="shared" si="36"/>
        <v>0</v>
      </c>
    </row>
    <row r="1329" spans="1:6">
      <c r="A1329" s="254">
        <v>311</v>
      </c>
      <c r="B1329" s="244" t="s">
        <v>357</v>
      </c>
      <c r="C1329" s="245" t="e">
        <f>C1332+#REF!+#REF!+#REF!+C1338</f>
        <v>#REF!</v>
      </c>
      <c r="D1329" s="62">
        <f>D1330+D1332</f>
        <v>0</v>
      </c>
      <c r="E1329" s="62">
        <f>E1330+E1332</f>
        <v>0</v>
      </c>
      <c r="F1329" s="62">
        <f t="shared" si="36"/>
        <v>0</v>
      </c>
    </row>
    <row r="1330" spans="1:6">
      <c r="A1330" s="246">
        <v>3111</v>
      </c>
      <c r="B1330" s="247" t="s">
        <v>369</v>
      </c>
      <c r="C1330" s="248"/>
      <c r="D1330" s="52">
        <f>D1331</f>
        <v>0</v>
      </c>
      <c r="E1330" s="52">
        <f>E1331</f>
        <v>0</v>
      </c>
      <c r="F1330" s="52">
        <f>E1330/12</f>
        <v>0</v>
      </c>
    </row>
    <row r="1331" spans="1:6">
      <c r="A1331" s="364">
        <v>311121</v>
      </c>
      <c r="B1331" s="363" t="s">
        <v>368</v>
      </c>
      <c r="C1331" s="364"/>
      <c r="D1331" s="364"/>
      <c r="E1331" s="364"/>
      <c r="F1331" s="364">
        <f>E1331/12</f>
        <v>0</v>
      </c>
    </row>
    <row r="1332" spans="1:6">
      <c r="A1332" s="246">
        <v>3112</v>
      </c>
      <c r="B1332" s="247" t="s">
        <v>355</v>
      </c>
      <c r="C1332" s="248"/>
      <c r="D1332" s="52">
        <f>SUM(D1333:D1335)</f>
        <v>0</v>
      </c>
      <c r="E1332" s="52">
        <f>SUM(E1333:E1335)</f>
        <v>0</v>
      </c>
      <c r="F1332" s="52">
        <f t="shared" si="36"/>
        <v>0</v>
      </c>
    </row>
    <row r="1333" spans="1:6">
      <c r="A1333" s="217">
        <v>311211</v>
      </c>
      <c r="B1333" s="218" t="s">
        <v>338</v>
      </c>
      <c r="C1333" s="54"/>
      <c r="D1333" s="174"/>
      <c r="E1333" s="174"/>
      <c r="F1333" s="173">
        <f t="shared" si="36"/>
        <v>0</v>
      </c>
    </row>
    <row r="1334" spans="1:6">
      <c r="A1334" s="217">
        <v>311221</v>
      </c>
      <c r="B1334" s="218" t="s">
        <v>339</v>
      </c>
      <c r="C1334" s="54"/>
      <c r="D1334" s="174"/>
      <c r="E1334" s="174"/>
      <c r="F1334" s="173">
        <f t="shared" si="36"/>
        <v>0</v>
      </c>
    </row>
    <row r="1335" spans="1:6">
      <c r="A1335" s="217">
        <v>311223</v>
      </c>
      <c r="B1335" s="218" t="s">
        <v>27</v>
      </c>
      <c r="C1335" s="54"/>
      <c r="D1335" s="173"/>
      <c r="E1335" s="174"/>
      <c r="F1335" s="173">
        <f t="shared" si="36"/>
        <v>0</v>
      </c>
    </row>
    <row r="1336" spans="1:6" ht="55.75">
      <c r="A1336" s="225">
        <v>40201</v>
      </c>
      <c r="B1336" s="255" t="s">
        <v>70</v>
      </c>
      <c r="C1336" s="306"/>
      <c r="D1336" s="169" t="s">
        <v>261</v>
      </c>
      <c r="E1336" s="169" t="s">
        <v>358</v>
      </c>
      <c r="F1336" s="169" t="s">
        <v>363</v>
      </c>
    </row>
    <row r="1337" spans="1:6">
      <c r="A1337" s="234" t="s">
        <v>5</v>
      </c>
      <c r="B1337" s="235" t="s">
        <v>65</v>
      </c>
      <c r="C1337" s="306"/>
      <c r="D1337" s="158">
        <f>D1338+D1350+D1387</f>
        <v>0</v>
      </c>
      <c r="E1337" s="158">
        <f>E1338+E1350+E1387</f>
        <v>0</v>
      </c>
      <c r="F1337" s="158">
        <f>E1337/12</f>
        <v>0</v>
      </c>
    </row>
    <row r="1338" spans="1:6">
      <c r="A1338" s="228">
        <v>21</v>
      </c>
      <c r="B1338" s="229" t="s">
        <v>6</v>
      </c>
      <c r="C1338" s="306"/>
      <c r="D1338" s="172">
        <f>D1339</f>
        <v>0</v>
      </c>
      <c r="E1338" s="172">
        <f>E1339</f>
        <v>0</v>
      </c>
      <c r="F1338" s="172">
        <f t="shared" ref="F1338:F1394" si="37">E1338/12</f>
        <v>0</v>
      </c>
    </row>
    <row r="1339" spans="1:6">
      <c r="A1339" s="85">
        <v>211</v>
      </c>
      <c r="B1339" s="86" t="s">
        <v>7</v>
      </c>
      <c r="C1339" s="306"/>
      <c r="D1339" s="62">
        <f>D1340+D1343+D1348</f>
        <v>0</v>
      </c>
      <c r="E1339" s="62">
        <f>E1340+E1343+E1348</f>
        <v>0</v>
      </c>
      <c r="F1339" s="62">
        <f t="shared" si="37"/>
        <v>0</v>
      </c>
    </row>
    <row r="1340" spans="1:6">
      <c r="A1340" s="74">
        <v>2111</v>
      </c>
      <c r="B1340" s="194" t="s">
        <v>8</v>
      </c>
      <c r="C1340" s="306"/>
      <c r="D1340" s="52">
        <f>SUM(D1341:D1342)</f>
        <v>0</v>
      </c>
      <c r="E1340" s="52">
        <f>SUM(E1341:E1342)</f>
        <v>0</v>
      </c>
      <c r="F1340" s="52">
        <f t="shared" si="37"/>
        <v>0</v>
      </c>
    </row>
    <row r="1341" spans="1:6">
      <c r="A1341" s="217">
        <v>211101</v>
      </c>
      <c r="B1341" s="218" t="s">
        <v>9</v>
      </c>
      <c r="C1341" s="306"/>
      <c r="D1341" s="173"/>
      <c r="E1341" s="173"/>
      <c r="F1341" s="173">
        <f t="shared" si="37"/>
        <v>0</v>
      </c>
    </row>
    <row r="1342" spans="1:6">
      <c r="A1342" s="217">
        <v>211106</v>
      </c>
      <c r="B1342" s="218" t="s">
        <v>33</v>
      </c>
      <c r="C1342" s="306"/>
      <c r="D1342" s="173"/>
      <c r="E1342" s="173"/>
      <c r="F1342" s="173">
        <f t="shared" si="37"/>
        <v>0</v>
      </c>
    </row>
    <row r="1343" spans="1:6">
      <c r="A1343" s="74">
        <v>2113</v>
      </c>
      <c r="B1343" s="194" t="s">
        <v>10</v>
      </c>
      <c r="C1343" s="306"/>
      <c r="D1343" s="52">
        <f>SUM(D1344:D1347)</f>
        <v>0</v>
      </c>
      <c r="E1343" s="52">
        <f>SUM(E1344:E1347)</f>
        <v>0</v>
      </c>
      <c r="F1343" s="52">
        <f>E1343/12</f>
        <v>0</v>
      </c>
    </row>
    <row r="1344" spans="1:6">
      <c r="A1344" s="217">
        <v>211301</v>
      </c>
      <c r="B1344" s="218" t="s">
        <v>11</v>
      </c>
      <c r="C1344" s="306"/>
      <c r="D1344" s="174"/>
      <c r="E1344" s="174"/>
      <c r="F1344" s="173">
        <f t="shared" si="37"/>
        <v>0</v>
      </c>
    </row>
    <row r="1345" spans="1:6">
      <c r="A1345" s="217">
        <v>211302</v>
      </c>
      <c r="B1345" s="218" t="s">
        <v>367</v>
      </c>
      <c r="C1345" s="306"/>
      <c r="D1345" s="174"/>
      <c r="E1345" s="174"/>
      <c r="F1345" s="173">
        <f>E1345/12</f>
        <v>0</v>
      </c>
    </row>
    <row r="1346" spans="1:6">
      <c r="A1346" s="217">
        <v>211306</v>
      </c>
      <c r="B1346" s="218" t="s">
        <v>34</v>
      </c>
      <c r="C1346" s="306"/>
      <c r="D1346" s="173"/>
      <c r="E1346" s="173"/>
      <c r="F1346" s="173">
        <f t="shared" si="37"/>
        <v>0</v>
      </c>
    </row>
    <row r="1347" spans="1:6">
      <c r="A1347" s="217">
        <v>211308</v>
      </c>
      <c r="B1347" s="218" t="s">
        <v>12</v>
      </c>
      <c r="C1347" s="306"/>
      <c r="D1347" s="173"/>
      <c r="E1347" s="173"/>
      <c r="F1347" s="173">
        <f t="shared" si="37"/>
        <v>0</v>
      </c>
    </row>
    <row r="1348" spans="1:6">
      <c r="A1348" s="74">
        <v>2115</v>
      </c>
      <c r="B1348" s="194" t="s">
        <v>13</v>
      </c>
      <c r="C1348" s="306"/>
      <c r="D1348" s="356">
        <f>D1349</f>
        <v>0</v>
      </c>
      <c r="E1348" s="356">
        <f>E1349</f>
        <v>0</v>
      </c>
      <c r="F1348" s="356">
        <f t="shared" si="37"/>
        <v>0</v>
      </c>
    </row>
    <row r="1349" spans="1:6">
      <c r="A1349" s="217">
        <v>211501</v>
      </c>
      <c r="B1349" s="218" t="s">
        <v>14</v>
      </c>
      <c r="C1349" s="306"/>
      <c r="D1349" s="174"/>
      <c r="E1349" s="174"/>
      <c r="F1349" s="174">
        <f t="shared" si="37"/>
        <v>0</v>
      </c>
    </row>
    <row r="1350" spans="1:6">
      <c r="A1350" s="228">
        <v>22</v>
      </c>
      <c r="B1350" s="229" t="s">
        <v>15</v>
      </c>
      <c r="C1350" s="306"/>
      <c r="D1350" s="172">
        <f>D1351</f>
        <v>0</v>
      </c>
      <c r="E1350" s="172"/>
      <c r="F1350" s="172">
        <f t="shared" si="37"/>
        <v>0</v>
      </c>
    </row>
    <row r="1351" spans="1:6">
      <c r="A1351" s="85">
        <v>221</v>
      </c>
      <c r="B1351" s="86" t="s">
        <v>16</v>
      </c>
      <c r="C1351" s="306"/>
      <c r="D1351" s="62">
        <f>D1352+D1356+D1359+D1362+D1365+D1370+D1375+D1379+D1382+D1385</f>
        <v>0</v>
      </c>
      <c r="E1351" s="62">
        <f>E1352+E1356+E1359+E1362+E1365+E1370+E1375+E1379+E1382+E1385</f>
        <v>0</v>
      </c>
      <c r="F1351" s="62">
        <f t="shared" si="37"/>
        <v>0</v>
      </c>
    </row>
    <row r="1352" spans="1:6">
      <c r="A1352" s="74">
        <v>2211</v>
      </c>
      <c r="B1352" s="194" t="s">
        <v>304</v>
      </c>
      <c r="C1352" s="306"/>
      <c r="D1352" s="52">
        <f>SUM(D1353:D1355)</f>
        <v>0</v>
      </c>
      <c r="E1352" s="52">
        <f>SUM(E1353:E1355)</f>
        <v>0</v>
      </c>
      <c r="F1352" s="52">
        <f t="shared" si="37"/>
        <v>0</v>
      </c>
    </row>
    <row r="1353" spans="1:6">
      <c r="A1353" s="268">
        <v>221101</v>
      </c>
      <c r="B1353" s="269" t="s">
        <v>305</v>
      </c>
      <c r="C1353" s="306"/>
      <c r="D1353" s="173"/>
      <c r="E1353" s="173"/>
      <c r="F1353" s="173">
        <f t="shared" si="37"/>
        <v>0</v>
      </c>
    </row>
    <row r="1354" spans="1:6">
      <c r="A1354" s="268">
        <v>221102</v>
      </c>
      <c r="B1354" s="269" t="s">
        <v>30</v>
      </c>
      <c r="C1354" s="306"/>
      <c r="D1354" s="173"/>
      <c r="E1354" s="173"/>
      <c r="F1354" s="173">
        <f t="shared" si="37"/>
        <v>0</v>
      </c>
    </row>
    <row r="1355" spans="1:6">
      <c r="A1355" s="217">
        <v>221103</v>
      </c>
      <c r="B1355" s="218" t="s">
        <v>306</v>
      </c>
      <c r="C1355" s="306"/>
      <c r="D1355" s="173"/>
      <c r="E1355" s="173"/>
      <c r="F1355" s="173">
        <f t="shared" si="37"/>
        <v>0</v>
      </c>
    </row>
    <row r="1356" spans="1:6">
      <c r="A1356" s="246">
        <v>2221</v>
      </c>
      <c r="B1356" s="247" t="s">
        <v>17</v>
      </c>
      <c r="C1356" s="306"/>
      <c r="D1356" s="52">
        <f>SUM(D1357:D1358)</f>
        <v>0</v>
      </c>
      <c r="E1356" s="52">
        <f>SUM(E1357:E1358)</f>
        <v>0</v>
      </c>
      <c r="F1356" s="52">
        <f t="shared" si="37"/>
        <v>0</v>
      </c>
    </row>
    <row r="1357" spans="1:6">
      <c r="A1357" s="217">
        <v>222101</v>
      </c>
      <c r="B1357" s="218" t="s">
        <v>18</v>
      </c>
      <c r="C1357" s="306"/>
      <c r="D1357" s="174"/>
      <c r="E1357" s="173"/>
      <c r="F1357" s="173">
        <f t="shared" si="37"/>
        <v>0</v>
      </c>
    </row>
    <row r="1358" spans="1:6">
      <c r="A1358" s="217">
        <v>222102</v>
      </c>
      <c r="B1358" s="218" t="s">
        <v>19</v>
      </c>
      <c r="C1358" s="306"/>
      <c r="D1358" s="174"/>
      <c r="E1358" s="174"/>
      <c r="F1358" s="173">
        <f t="shared" si="37"/>
        <v>0</v>
      </c>
    </row>
    <row r="1359" spans="1:6">
      <c r="A1359" s="74">
        <v>2222</v>
      </c>
      <c r="B1359" s="194" t="s">
        <v>20</v>
      </c>
      <c r="C1359" s="306"/>
      <c r="D1359" s="52">
        <f>SUM(D1360:D1361)</f>
        <v>0</v>
      </c>
      <c r="E1359" s="52">
        <f>SUM(E1360:E1361)</f>
        <v>0</v>
      </c>
      <c r="F1359" s="52">
        <f t="shared" si="37"/>
        <v>0</v>
      </c>
    </row>
    <row r="1360" spans="1:6">
      <c r="A1360" s="217">
        <v>222201</v>
      </c>
      <c r="B1360" s="218" t="s">
        <v>309</v>
      </c>
      <c r="C1360" s="306"/>
      <c r="D1360" s="173"/>
      <c r="E1360" s="173"/>
      <c r="F1360" s="173">
        <f t="shared" si="37"/>
        <v>0</v>
      </c>
    </row>
    <row r="1361" spans="1:6">
      <c r="A1361" s="217">
        <v>222202</v>
      </c>
      <c r="B1361" s="218" t="s">
        <v>328</v>
      </c>
      <c r="C1361" s="306"/>
      <c r="D1361" s="173"/>
      <c r="E1361" s="173"/>
      <c r="F1361" s="173">
        <f t="shared" si="37"/>
        <v>0</v>
      </c>
    </row>
    <row r="1362" spans="1:6">
      <c r="A1362" s="246">
        <v>2223</v>
      </c>
      <c r="B1362" s="247" t="s">
        <v>23</v>
      </c>
      <c r="C1362" s="306"/>
      <c r="D1362" s="52">
        <f>SUM(D1363:D1364)</f>
        <v>0</v>
      </c>
      <c r="E1362" s="52">
        <f>SUM(E1363:E1364)</f>
        <v>0</v>
      </c>
      <c r="F1362" s="52">
        <f t="shared" si="37"/>
        <v>0</v>
      </c>
    </row>
    <row r="1363" spans="1:6">
      <c r="A1363" s="217">
        <v>222301</v>
      </c>
      <c r="B1363" s="218" t="s">
        <v>310</v>
      </c>
      <c r="C1363" s="306"/>
      <c r="D1363" s="173"/>
      <c r="E1363" s="173"/>
      <c r="F1363" s="173">
        <f t="shared" si="37"/>
        <v>0</v>
      </c>
    </row>
    <row r="1364" spans="1:6">
      <c r="A1364" s="217">
        <v>222302</v>
      </c>
      <c r="B1364" s="218" t="s">
        <v>24</v>
      </c>
      <c r="C1364" s="306"/>
      <c r="D1364" s="173"/>
      <c r="E1364" s="173"/>
      <c r="F1364" s="173">
        <f t="shared" si="37"/>
        <v>0</v>
      </c>
    </row>
    <row r="1365" spans="1:6">
      <c r="A1365" s="246">
        <v>2224</v>
      </c>
      <c r="B1365" s="194" t="s">
        <v>330</v>
      </c>
      <c r="C1365" s="306"/>
      <c r="D1365" s="52">
        <f>SUM(D1366:D1369)</f>
        <v>0</v>
      </c>
      <c r="E1365" s="52">
        <f>SUM(E1366:E1369)</f>
        <v>0</v>
      </c>
      <c r="F1365" s="52">
        <f t="shared" si="37"/>
        <v>0</v>
      </c>
    </row>
    <row r="1366" spans="1:6">
      <c r="A1366" s="217">
        <v>222401</v>
      </c>
      <c r="B1366" s="218" t="s">
        <v>343</v>
      </c>
      <c r="C1366" s="306"/>
      <c r="D1366" s="173"/>
      <c r="E1366" s="173"/>
      <c r="F1366" s="173">
        <f t="shared" si="37"/>
        <v>0</v>
      </c>
    </row>
    <row r="1367" spans="1:6">
      <c r="A1367" s="217">
        <v>222403</v>
      </c>
      <c r="B1367" s="218" t="s">
        <v>312</v>
      </c>
      <c r="C1367" s="306"/>
      <c r="D1367" s="173"/>
      <c r="E1367" s="173"/>
      <c r="F1367" s="173">
        <f t="shared" si="37"/>
        <v>0</v>
      </c>
    </row>
    <row r="1368" spans="1:6">
      <c r="A1368" s="217">
        <v>222404</v>
      </c>
      <c r="B1368" s="218" t="s">
        <v>313</v>
      </c>
      <c r="C1368" s="306"/>
      <c r="D1368" s="173"/>
      <c r="E1368" s="173"/>
      <c r="F1368" s="173">
        <f t="shared" si="37"/>
        <v>0</v>
      </c>
    </row>
    <row r="1369" spans="1:6">
      <c r="A1369" s="217">
        <v>222405</v>
      </c>
      <c r="B1369" s="218" t="s">
        <v>314</v>
      </c>
      <c r="C1369" s="306"/>
      <c r="D1369" s="173"/>
      <c r="E1369" s="173"/>
      <c r="F1369" s="173">
        <f t="shared" si="37"/>
        <v>0</v>
      </c>
    </row>
    <row r="1370" spans="1:6">
      <c r="A1370" s="74">
        <v>2225</v>
      </c>
      <c r="B1370" s="194" t="s">
        <v>331</v>
      </c>
      <c r="C1370" s="306"/>
      <c r="D1370" s="52">
        <f>SUM(D1371:D1374)</f>
        <v>0</v>
      </c>
      <c r="E1370" s="52">
        <f>SUM(E1371:E1374)</f>
        <v>0</v>
      </c>
      <c r="F1370" s="52">
        <f t="shared" si="37"/>
        <v>0</v>
      </c>
    </row>
    <row r="1371" spans="1:6">
      <c r="A1371" s="217">
        <v>222501</v>
      </c>
      <c r="B1371" s="218" t="s">
        <v>315</v>
      </c>
      <c r="C1371" s="306"/>
      <c r="D1371" s="173"/>
      <c r="E1371" s="173"/>
      <c r="F1371" s="173">
        <f t="shared" si="37"/>
        <v>0</v>
      </c>
    </row>
    <row r="1372" spans="1:6">
      <c r="A1372" s="217">
        <v>222502</v>
      </c>
      <c r="B1372" s="218" t="s">
        <v>316</v>
      </c>
      <c r="C1372" s="306"/>
      <c r="D1372" s="173"/>
      <c r="E1372" s="173"/>
      <c r="F1372" s="173">
        <f t="shared" si="37"/>
        <v>0</v>
      </c>
    </row>
    <row r="1373" spans="1:6">
      <c r="A1373" s="217">
        <v>222503</v>
      </c>
      <c r="B1373" s="218" t="s">
        <v>317</v>
      </c>
      <c r="C1373" s="306"/>
      <c r="D1373" s="173"/>
      <c r="E1373" s="173"/>
      <c r="F1373" s="173">
        <f t="shared" si="37"/>
        <v>0</v>
      </c>
    </row>
    <row r="1374" spans="1:6">
      <c r="A1374" s="217">
        <v>222504</v>
      </c>
      <c r="B1374" s="218" t="s">
        <v>318</v>
      </c>
      <c r="C1374" s="306"/>
      <c r="D1374" s="173"/>
      <c r="E1374" s="173"/>
      <c r="F1374" s="173">
        <f t="shared" si="37"/>
        <v>0</v>
      </c>
    </row>
    <row r="1375" spans="1:6">
      <c r="A1375" s="246">
        <v>2231</v>
      </c>
      <c r="B1375" s="247" t="s">
        <v>21</v>
      </c>
      <c r="C1375" s="306"/>
      <c r="D1375" s="52">
        <f>SUM(D1376:D1378)</f>
        <v>0</v>
      </c>
      <c r="E1375" s="52">
        <f>SUM(E1376:E1378)</f>
        <v>0</v>
      </c>
      <c r="F1375" s="52">
        <f t="shared" si="37"/>
        <v>0</v>
      </c>
    </row>
    <row r="1376" spans="1:6">
      <c r="A1376" s="217">
        <v>223101</v>
      </c>
      <c r="B1376" s="218" t="s">
        <v>319</v>
      </c>
      <c r="C1376" s="306"/>
      <c r="D1376" s="173"/>
      <c r="E1376" s="173"/>
      <c r="F1376" s="173">
        <f t="shared" si="37"/>
        <v>0</v>
      </c>
    </row>
    <row r="1377" spans="1:6">
      <c r="A1377" s="217">
        <v>223102</v>
      </c>
      <c r="B1377" s="218" t="s">
        <v>22</v>
      </c>
      <c r="C1377" s="306"/>
      <c r="D1377" s="173"/>
      <c r="E1377" s="173"/>
      <c r="F1377" s="173">
        <f t="shared" si="37"/>
        <v>0</v>
      </c>
    </row>
    <row r="1378" spans="1:6">
      <c r="A1378" s="217">
        <v>223103</v>
      </c>
      <c r="B1378" s="218" t="s">
        <v>340</v>
      </c>
      <c r="C1378" s="306"/>
      <c r="D1378" s="173"/>
      <c r="E1378" s="173"/>
      <c r="F1378" s="173">
        <f t="shared" si="37"/>
        <v>0</v>
      </c>
    </row>
    <row r="1379" spans="1:6">
      <c r="A1379" s="246">
        <v>2241</v>
      </c>
      <c r="B1379" s="247" t="s">
        <v>354</v>
      </c>
      <c r="C1379" s="306"/>
      <c r="D1379" s="52">
        <f>SUM(D1380:D1381)</f>
        <v>0</v>
      </c>
      <c r="E1379" s="52">
        <f>SUM(E1380:E1381)</f>
        <v>0</v>
      </c>
      <c r="F1379" s="52">
        <f t="shared" si="37"/>
        <v>0</v>
      </c>
    </row>
    <row r="1380" spans="1:6">
      <c r="A1380" s="217">
        <v>224101</v>
      </c>
      <c r="B1380" s="218" t="s">
        <v>384</v>
      </c>
      <c r="C1380" s="306"/>
      <c r="D1380" s="173"/>
      <c r="E1380" s="173"/>
      <c r="F1380" s="173">
        <f t="shared" si="37"/>
        <v>0</v>
      </c>
    </row>
    <row r="1381" spans="1:6">
      <c r="A1381" s="217">
        <v>224102</v>
      </c>
      <c r="B1381" s="218" t="s">
        <v>385</v>
      </c>
      <c r="C1381" s="306"/>
      <c r="D1381" s="173"/>
      <c r="E1381" s="173"/>
      <c r="F1381" s="173">
        <f t="shared" si="37"/>
        <v>0</v>
      </c>
    </row>
    <row r="1382" spans="1:6">
      <c r="A1382" s="246">
        <v>2244</v>
      </c>
      <c r="B1382" s="247" t="s">
        <v>321</v>
      </c>
      <c r="C1382" s="306"/>
      <c r="D1382" s="52">
        <f>SUM(D1383:D1384)</f>
        <v>0</v>
      </c>
      <c r="E1382" s="52">
        <f>SUM(E1383:E1384)</f>
        <v>0</v>
      </c>
      <c r="F1382" s="52">
        <f>E1382/12</f>
        <v>0</v>
      </c>
    </row>
    <row r="1383" spans="1:6">
      <c r="A1383" s="217">
        <v>224401</v>
      </c>
      <c r="B1383" s="218" t="s">
        <v>344</v>
      </c>
      <c r="C1383" s="306"/>
      <c r="D1383" s="173"/>
      <c r="E1383" s="173"/>
      <c r="F1383" s="173">
        <f>E1383/12</f>
        <v>0</v>
      </c>
    </row>
    <row r="1384" spans="1:6">
      <c r="A1384" s="217">
        <v>224402</v>
      </c>
      <c r="B1384" s="218" t="s">
        <v>323</v>
      </c>
      <c r="C1384" s="306"/>
      <c r="D1384" s="173"/>
      <c r="E1384" s="173"/>
      <c r="F1384" s="173">
        <f>E1384/12</f>
        <v>0</v>
      </c>
    </row>
    <row r="1385" spans="1:6">
      <c r="A1385" s="74">
        <v>2261</v>
      </c>
      <c r="B1385" s="194" t="s">
        <v>28</v>
      </c>
      <c r="C1385" s="306"/>
      <c r="D1385" s="52">
        <f>D1386</f>
        <v>0</v>
      </c>
      <c r="E1385" s="52">
        <f>E1386</f>
        <v>0</v>
      </c>
      <c r="F1385" s="52">
        <f t="shared" si="37"/>
        <v>0</v>
      </c>
    </row>
    <row r="1386" spans="1:6">
      <c r="A1386" s="217">
        <v>226102</v>
      </c>
      <c r="B1386" s="218" t="s">
        <v>353</v>
      </c>
      <c r="C1386" s="306"/>
      <c r="D1386" s="173"/>
      <c r="E1386" s="174"/>
      <c r="F1386" s="174">
        <f t="shared" si="37"/>
        <v>0</v>
      </c>
    </row>
    <row r="1387" spans="1:6">
      <c r="A1387" s="253">
        <v>31</v>
      </c>
      <c r="B1387" s="229" t="s">
        <v>356</v>
      </c>
      <c r="C1387" s="242" t="e">
        <f>C1388+#REF!+#REF!+#REF!</f>
        <v>#REF!</v>
      </c>
      <c r="D1387" s="360">
        <f>D1388</f>
        <v>0</v>
      </c>
      <c r="E1387" s="360">
        <f>E1388</f>
        <v>0</v>
      </c>
      <c r="F1387" s="360">
        <f t="shared" si="37"/>
        <v>0</v>
      </c>
    </row>
    <row r="1388" spans="1:6">
      <c r="A1388" s="254">
        <v>311</v>
      </c>
      <c r="B1388" s="244" t="s">
        <v>357</v>
      </c>
      <c r="C1388" s="306"/>
      <c r="D1388" s="62">
        <f>D1389+D1391</f>
        <v>0</v>
      </c>
      <c r="E1388" s="62">
        <f>E1389+E1391</f>
        <v>0</v>
      </c>
      <c r="F1388" s="62">
        <f t="shared" si="37"/>
        <v>0</v>
      </c>
    </row>
    <row r="1389" spans="1:6">
      <c r="A1389" s="246">
        <v>3111</v>
      </c>
      <c r="B1389" s="247" t="s">
        <v>371</v>
      </c>
      <c r="C1389" s="306"/>
      <c r="D1389" s="52">
        <f>D1390</f>
        <v>0</v>
      </c>
      <c r="E1389" s="52">
        <f>E1390</f>
        <v>0</v>
      </c>
      <c r="F1389" s="52">
        <f>E1389/12</f>
        <v>0</v>
      </c>
    </row>
    <row r="1390" spans="1:6">
      <c r="A1390" s="217">
        <v>311121</v>
      </c>
      <c r="B1390" s="218" t="s">
        <v>370</v>
      </c>
      <c r="C1390" s="306"/>
      <c r="D1390" s="174"/>
      <c r="E1390" s="173"/>
      <c r="F1390" s="174">
        <f>E1390/12</f>
        <v>0</v>
      </c>
    </row>
    <row r="1391" spans="1:6">
      <c r="A1391" s="246">
        <v>3112</v>
      </c>
      <c r="B1391" s="247" t="s">
        <v>355</v>
      </c>
      <c r="C1391" s="306"/>
      <c r="D1391" s="52">
        <f>SUM(D1392:D1394)</f>
        <v>0</v>
      </c>
      <c r="E1391" s="52">
        <f>SUM(E1392:E1394)</f>
        <v>0</v>
      </c>
      <c r="F1391" s="52">
        <f t="shared" si="37"/>
        <v>0</v>
      </c>
    </row>
    <row r="1392" spans="1:6">
      <c r="A1392" s="217">
        <v>311211</v>
      </c>
      <c r="B1392" s="218" t="s">
        <v>338</v>
      </c>
      <c r="C1392" s="306"/>
      <c r="D1392" s="174"/>
      <c r="E1392" s="173"/>
      <c r="F1392" s="173">
        <f t="shared" si="37"/>
        <v>0</v>
      </c>
    </row>
    <row r="1393" spans="1:6">
      <c r="A1393" s="217">
        <v>311221</v>
      </c>
      <c r="B1393" s="218" t="s">
        <v>339</v>
      </c>
      <c r="C1393" s="306"/>
      <c r="D1393" s="174"/>
      <c r="E1393" s="173"/>
      <c r="F1393" s="173">
        <f t="shared" si="37"/>
        <v>0</v>
      </c>
    </row>
    <row r="1394" spans="1:6">
      <c r="A1394" s="217">
        <v>311221</v>
      </c>
      <c r="B1394" s="218" t="s">
        <v>27</v>
      </c>
      <c r="C1394" s="306"/>
      <c r="D1394" s="174"/>
      <c r="E1394" s="173"/>
      <c r="F1394" s="173">
        <f t="shared" si="37"/>
        <v>0</v>
      </c>
    </row>
    <row r="1395" spans="1:6" ht="55.75">
      <c r="A1395" s="225">
        <v>40301</v>
      </c>
      <c r="B1395" s="255" t="s">
        <v>59</v>
      </c>
      <c r="C1395" s="306"/>
      <c r="D1395" s="169" t="s">
        <v>261</v>
      </c>
      <c r="E1395" s="169" t="s">
        <v>358</v>
      </c>
      <c r="F1395" s="169" t="s">
        <v>363</v>
      </c>
    </row>
    <row r="1396" spans="1:6">
      <c r="A1396" s="234" t="s">
        <v>5</v>
      </c>
      <c r="B1396" s="235" t="s">
        <v>65</v>
      </c>
      <c r="C1396" s="306"/>
      <c r="D1396" s="158">
        <f>D1397+D1408</f>
        <v>0</v>
      </c>
      <c r="E1396" s="158">
        <f>E1397+E1408</f>
        <v>0</v>
      </c>
      <c r="F1396" s="158">
        <f>E1396/12</f>
        <v>0</v>
      </c>
    </row>
    <row r="1397" spans="1:6">
      <c r="A1397" s="228">
        <v>21</v>
      </c>
      <c r="B1397" s="229" t="s">
        <v>6</v>
      </c>
      <c r="C1397" s="306"/>
      <c r="D1397" s="172">
        <f>D1398</f>
        <v>0</v>
      </c>
      <c r="E1397" s="172">
        <f>E1398</f>
        <v>0</v>
      </c>
      <c r="F1397" s="172">
        <f t="shared" ref="F1397:F1441" si="38">E1397/12</f>
        <v>0</v>
      </c>
    </row>
    <row r="1398" spans="1:6">
      <c r="A1398" s="85">
        <v>211</v>
      </c>
      <c r="B1398" s="86" t="s">
        <v>7</v>
      </c>
      <c r="C1398" s="306"/>
      <c r="D1398" s="62">
        <f>D1399+D1402+D1406</f>
        <v>0</v>
      </c>
      <c r="E1398" s="62">
        <f>E1399+E1402+E1406</f>
        <v>0</v>
      </c>
      <c r="F1398" s="62">
        <f t="shared" si="38"/>
        <v>0</v>
      </c>
    </row>
    <row r="1399" spans="1:6">
      <c r="A1399" s="74">
        <v>2111</v>
      </c>
      <c r="B1399" s="194" t="s">
        <v>8</v>
      </c>
      <c r="C1399" s="306"/>
      <c r="D1399" s="52">
        <f>SUM(D1400:D1401)</f>
        <v>0</v>
      </c>
      <c r="E1399" s="52">
        <f>SUM(E1400:E1401)</f>
        <v>0</v>
      </c>
      <c r="F1399" s="52">
        <f t="shared" si="38"/>
        <v>0</v>
      </c>
    </row>
    <row r="1400" spans="1:6">
      <c r="A1400" s="217">
        <v>211101</v>
      </c>
      <c r="B1400" s="218" t="s">
        <v>9</v>
      </c>
      <c r="C1400" s="306"/>
      <c r="D1400" s="173"/>
      <c r="E1400" s="173"/>
      <c r="F1400" s="173">
        <f t="shared" si="38"/>
        <v>0</v>
      </c>
    </row>
    <row r="1401" spans="1:6">
      <c r="A1401" s="217">
        <v>211106</v>
      </c>
      <c r="B1401" s="218" t="s">
        <v>33</v>
      </c>
      <c r="C1401" s="306"/>
      <c r="D1401" s="173"/>
      <c r="E1401" s="173"/>
      <c r="F1401" s="173">
        <f t="shared" si="38"/>
        <v>0</v>
      </c>
    </row>
    <row r="1402" spans="1:6">
      <c r="A1402" s="74">
        <v>2113</v>
      </c>
      <c r="B1402" s="194" t="s">
        <v>10</v>
      </c>
      <c r="C1402" s="306"/>
      <c r="D1402" s="52">
        <f>SUM(D1403:D1405)</f>
        <v>0</v>
      </c>
      <c r="E1402" s="52">
        <f>SUM(E1403:E1405)</f>
        <v>0</v>
      </c>
      <c r="F1402" s="52">
        <f t="shared" si="38"/>
        <v>0</v>
      </c>
    </row>
    <row r="1403" spans="1:6">
      <c r="A1403" s="217">
        <v>211301</v>
      </c>
      <c r="B1403" s="218" t="s">
        <v>11</v>
      </c>
      <c r="C1403" s="306"/>
      <c r="D1403" s="174"/>
      <c r="E1403" s="174"/>
      <c r="F1403" s="173">
        <f t="shared" si="38"/>
        <v>0</v>
      </c>
    </row>
    <row r="1404" spans="1:6">
      <c r="A1404" s="217">
        <v>211306</v>
      </c>
      <c r="B1404" s="218" t="s">
        <v>34</v>
      </c>
      <c r="C1404" s="306"/>
      <c r="D1404" s="173"/>
      <c r="E1404" s="173"/>
      <c r="F1404" s="173">
        <f t="shared" si="38"/>
        <v>0</v>
      </c>
    </row>
    <row r="1405" spans="1:6">
      <c r="A1405" s="217">
        <v>211308</v>
      </c>
      <c r="B1405" s="218" t="s">
        <v>12</v>
      </c>
      <c r="C1405" s="306"/>
      <c r="D1405" s="173"/>
      <c r="E1405" s="174"/>
      <c r="F1405" s="173">
        <f t="shared" si="38"/>
        <v>0</v>
      </c>
    </row>
    <row r="1406" spans="1:6">
      <c r="A1406" s="74">
        <v>2115</v>
      </c>
      <c r="B1406" s="194" t="s">
        <v>13</v>
      </c>
      <c r="C1406" s="306"/>
      <c r="D1406" s="52">
        <f>D1407</f>
        <v>0</v>
      </c>
      <c r="E1406" s="52">
        <f>E1407</f>
        <v>0</v>
      </c>
      <c r="F1406" s="52">
        <f>E1406/12</f>
        <v>0</v>
      </c>
    </row>
    <row r="1407" spans="1:6">
      <c r="A1407" s="217">
        <v>211501</v>
      </c>
      <c r="B1407" s="218" t="s">
        <v>14</v>
      </c>
      <c r="C1407" s="306"/>
      <c r="D1407" s="174"/>
      <c r="E1407" s="173"/>
      <c r="F1407" s="173">
        <f t="shared" si="38"/>
        <v>0</v>
      </c>
    </row>
    <row r="1408" spans="1:6">
      <c r="A1408" s="228">
        <v>22</v>
      </c>
      <c r="B1408" s="229" t="s">
        <v>15</v>
      </c>
      <c r="C1408" s="306"/>
      <c r="D1408" s="172">
        <f>D1409</f>
        <v>0</v>
      </c>
      <c r="E1408" s="172">
        <f>E1409</f>
        <v>0</v>
      </c>
      <c r="F1408" s="172">
        <f t="shared" si="38"/>
        <v>0</v>
      </c>
    </row>
    <row r="1409" spans="1:6">
      <c r="A1409" s="85">
        <v>221</v>
      </c>
      <c r="B1409" s="86" t="s">
        <v>16</v>
      </c>
      <c r="C1409" s="306"/>
      <c r="D1409" s="62">
        <f>D1410+D1414+D1417+D1420+D1423+D1428+D1433+D1437+D1440</f>
        <v>0</v>
      </c>
      <c r="E1409" s="62">
        <f>E1410+E1414+E1417+E1420+E1423+E1428+E1433+E1437+E1440</f>
        <v>0</v>
      </c>
      <c r="F1409" s="62">
        <f t="shared" si="38"/>
        <v>0</v>
      </c>
    </row>
    <row r="1410" spans="1:6">
      <c r="A1410" s="74">
        <v>2211</v>
      </c>
      <c r="B1410" s="194" t="s">
        <v>304</v>
      </c>
      <c r="C1410" s="306"/>
      <c r="D1410" s="52">
        <f>SUM(D1411:D1413)</f>
        <v>0</v>
      </c>
      <c r="E1410" s="52">
        <f>SUM(E1411:E1413)</f>
        <v>0</v>
      </c>
      <c r="F1410" s="52">
        <f t="shared" si="38"/>
        <v>0</v>
      </c>
    </row>
    <row r="1411" spans="1:6">
      <c r="A1411" s="268">
        <v>221101</v>
      </c>
      <c r="B1411" s="269" t="s">
        <v>305</v>
      </c>
      <c r="C1411" s="306"/>
      <c r="D1411" s="173"/>
      <c r="E1411" s="173"/>
      <c r="F1411" s="173">
        <f t="shared" si="38"/>
        <v>0</v>
      </c>
    </row>
    <row r="1412" spans="1:6">
      <c r="A1412" s="268">
        <v>221102</v>
      </c>
      <c r="B1412" s="269" t="s">
        <v>30</v>
      </c>
      <c r="C1412" s="306"/>
      <c r="D1412" s="173"/>
      <c r="E1412" s="173"/>
      <c r="F1412" s="173">
        <f t="shared" si="38"/>
        <v>0</v>
      </c>
    </row>
    <row r="1413" spans="1:6">
      <c r="A1413" s="217">
        <v>221103</v>
      </c>
      <c r="B1413" s="218" t="s">
        <v>306</v>
      </c>
      <c r="C1413" s="306"/>
      <c r="D1413" s="173"/>
      <c r="E1413" s="173"/>
      <c r="F1413" s="173">
        <f t="shared" si="38"/>
        <v>0</v>
      </c>
    </row>
    <row r="1414" spans="1:6">
      <c r="A1414" s="246">
        <v>2221</v>
      </c>
      <c r="B1414" s="247" t="s">
        <v>17</v>
      </c>
      <c r="C1414" s="306"/>
      <c r="D1414" s="52">
        <f>SUM(D1415:D1416)</f>
        <v>0</v>
      </c>
      <c r="E1414" s="52">
        <f>SUM(E1415:E1416)</f>
        <v>0</v>
      </c>
      <c r="F1414" s="52">
        <f t="shared" si="38"/>
        <v>0</v>
      </c>
    </row>
    <row r="1415" spans="1:6">
      <c r="A1415" s="217">
        <v>222101</v>
      </c>
      <c r="B1415" s="218" t="s">
        <v>18</v>
      </c>
      <c r="C1415" s="306"/>
      <c r="D1415" s="174"/>
      <c r="E1415" s="173"/>
      <c r="F1415" s="173">
        <f t="shared" si="38"/>
        <v>0</v>
      </c>
    </row>
    <row r="1416" spans="1:6">
      <c r="A1416" s="217">
        <v>222102</v>
      </c>
      <c r="B1416" s="218" t="s">
        <v>19</v>
      </c>
      <c r="C1416" s="306"/>
      <c r="D1416" s="174"/>
      <c r="E1416" s="173"/>
      <c r="F1416" s="173">
        <f t="shared" si="38"/>
        <v>0</v>
      </c>
    </row>
    <row r="1417" spans="1:6">
      <c r="A1417" s="74">
        <v>2222</v>
      </c>
      <c r="B1417" s="194" t="s">
        <v>20</v>
      </c>
      <c r="C1417" s="306"/>
      <c r="D1417" s="52">
        <f>SUM(D1418:D1419)</f>
        <v>0</v>
      </c>
      <c r="E1417" s="52">
        <f>SUM(E1418:E1419)</f>
        <v>0</v>
      </c>
      <c r="F1417" s="52">
        <f t="shared" si="38"/>
        <v>0</v>
      </c>
    </row>
    <row r="1418" spans="1:6">
      <c r="A1418" s="217">
        <v>222201</v>
      </c>
      <c r="B1418" s="218" t="s">
        <v>309</v>
      </c>
      <c r="C1418" s="306"/>
      <c r="D1418" s="173"/>
      <c r="E1418" s="173"/>
      <c r="F1418" s="173">
        <f t="shared" si="38"/>
        <v>0</v>
      </c>
    </row>
    <row r="1419" spans="1:6">
      <c r="A1419" s="217">
        <v>222202</v>
      </c>
      <c r="B1419" s="218" t="s">
        <v>328</v>
      </c>
      <c r="C1419" s="306"/>
      <c r="D1419" s="173"/>
      <c r="E1419" s="174"/>
      <c r="F1419" s="173">
        <f t="shared" si="38"/>
        <v>0</v>
      </c>
    </row>
    <row r="1420" spans="1:6">
      <c r="A1420" s="246">
        <v>2223</v>
      </c>
      <c r="B1420" s="247" t="s">
        <v>23</v>
      </c>
      <c r="C1420" s="306"/>
      <c r="D1420" s="52">
        <f>SUM(D1421:D1422)</f>
        <v>0</v>
      </c>
      <c r="E1420" s="52">
        <f>SUM(E1421:E1422)</f>
        <v>0</v>
      </c>
      <c r="F1420" s="52">
        <f t="shared" si="38"/>
        <v>0</v>
      </c>
    </row>
    <row r="1421" spans="1:6">
      <c r="A1421" s="217">
        <v>222301</v>
      </c>
      <c r="B1421" s="218" t="s">
        <v>310</v>
      </c>
      <c r="C1421" s="306"/>
      <c r="D1421" s="173"/>
      <c r="E1421" s="174"/>
      <c r="F1421" s="174">
        <f t="shared" si="38"/>
        <v>0</v>
      </c>
    </row>
    <row r="1422" spans="1:6">
      <c r="A1422" s="217">
        <v>222302</v>
      </c>
      <c r="B1422" s="218" t="s">
        <v>24</v>
      </c>
      <c r="C1422" s="306"/>
      <c r="D1422" s="173"/>
      <c r="E1422" s="174"/>
      <c r="F1422" s="174">
        <f t="shared" si="38"/>
        <v>0</v>
      </c>
    </row>
    <row r="1423" spans="1:6">
      <c r="A1423" s="246">
        <v>2224</v>
      </c>
      <c r="B1423" s="194" t="s">
        <v>330</v>
      </c>
      <c r="C1423" s="306"/>
      <c r="D1423" s="52">
        <f>SUM(D1424:D1427)</f>
        <v>0</v>
      </c>
      <c r="E1423" s="52">
        <f>SUM(E1424:E1427)</f>
        <v>0</v>
      </c>
      <c r="F1423" s="52">
        <f t="shared" si="38"/>
        <v>0</v>
      </c>
    </row>
    <row r="1424" spans="1:6">
      <c r="A1424" s="217">
        <v>222401</v>
      </c>
      <c r="B1424" s="218" t="s">
        <v>343</v>
      </c>
      <c r="C1424" s="306"/>
      <c r="D1424" s="173"/>
      <c r="E1424" s="173"/>
      <c r="F1424" s="173">
        <f t="shared" si="38"/>
        <v>0</v>
      </c>
    </row>
    <row r="1425" spans="1:6">
      <c r="A1425" s="217">
        <v>222403</v>
      </c>
      <c r="B1425" s="218" t="s">
        <v>312</v>
      </c>
      <c r="C1425" s="306"/>
      <c r="D1425" s="173"/>
      <c r="E1425" s="173"/>
      <c r="F1425" s="173">
        <f t="shared" si="38"/>
        <v>0</v>
      </c>
    </row>
    <row r="1426" spans="1:6">
      <c r="A1426" s="217">
        <v>222404</v>
      </c>
      <c r="B1426" s="218" t="s">
        <v>313</v>
      </c>
      <c r="C1426" s="306"/>
      <c r="D1426" s="173"/>
      <c r="E1426" s="173"/>
      <c r="F1426" s="173">
        <f t="shared" si="38"/>
        <v>0</v>
      </c>
    </row>
    <row r="1427" spans="1:6">
      <c r="A1427" s="217">
        <v>222405</v>
      </c>
      <c r="B1427" s="218" t="s">
        <v>314</v>
      </c>
      <c r="C1427" s="306"/>
      <c r="D1427" s="173"/>
      <c r="E1427" s="173"/>
      <c r="F1427" s="173">
        <f t="shared" si="38"/>
        <v>0</v>
      </c>
    </row>
    <row r="1428" spans="1:6">
      <c r="A1428" s="74">
        <v>2225</v>
      </c>
      <c r="B1428" s="194" t="s">
        <v>331</v>
      </c>
      <c r="C1428" s="306"/>
      <c r="D1428" s="52">
        <f>SUM(D1429:D1432)</f>
        <v>0</v>
      </c>
      <c r="E1428" s="52">
        <f>SUM(E1429:E1432)</f>
        <v>0</v>
      </c>
      <c r="F1428" s="52">
        <f t="shared" si="38"/>
        <v>0</v>
      </c>
    </row>
    <row r="1429" spans="1:6">
      <c r="A1429" s="217">
        <v>222501</v>
      </c>
      <c r="B1429" s="218" t="s">
        <v>315</v>
      </c>
      <c r="C1429" s="306"/>
      <c r="D1429" s="173"/>
      <c r="E1429" s="173"/>
      <c r="F1429" s="173">
        <f t="shared" si="38"/>
        <v>0</v>
      </c>
    </row>
    <row r="1430" spans="1:6">
      <c r="A1430" s="217">
        <v>222502</v>
      </c>
      <c r="B1430" s="218" t="s">
        <v>316</v>
      </c>
      <c r="C1430" s="306"/>
      <c r="D1430" s="173"/>
      <c r="E1430" s="173"/>
      <c r="F1430" s="173">
        <f t="shared" si="38"/>
        <v>0</v>
      </c>
    </row>
    <row r="1431" spans="1:6">
      <c r="A1431" s="217">
        <v>222503</v>
      </c>
      <c r="B1431" s="218" t="s">
        <v>317</v>
      </c>
      <c r="C1431" s="306"/>
      <c r="D1431" s="173"/>
      <c r="E1431" s="173"/>
      <c r="F1431" s="173">
        <f t="shared" si="38"/>
        <v>0</v>
      </c>
    </row>
    <row r="1432" spans="1:6">
      <c r="A1432" s="217">
        <v>222504</v>
      </c>
      <c r="B1432" s="218" t="s">
        <v>318</v>
      </c>
      <c r="C1432" s="306"/>
      <c r="D1432" s="173"/>
      <c r="E1432" s="173"/>
      <c r="F1432" s="173">
        <f t="shared" si="38"/>
        <v>0</v>
      </c>
    </row>
    <row r="1433" spans="1:6">
      <c r="A1433" s="246">
        <v>2231</v>
      </c>
      <c r="B1433" s="247" t="s">
        <v>21</v>
      </c>
      <c r="C1433" s="306"/>
      <c r="D1433" s="52">
        <f>SUM(D1434:D1436)</f>
        <v>0</v>
      </c>
      <c r="E1433" s="52">
        <f>SUM(E1434:E1436)</f>
        <v>0</v>
      </c>
      <c r="F1433" s="52">
        <f t="shared" si="38"/>
        <v>0</v>
      </c>
    </row>
    <row r="1434" spans="1:6">
      <c r="A1434" s="217">
        <v>223101</v>
      </c>
      <c r="B1434" s="218" t="s">
        <v>319</v>
      </c>
      <c r="C1434" s="306"/>
      <c r="D1434" s="174"/>
      <c r="E1434" s="175"/>
      <c r="F1434" s="174">
        <f t="shared" si="38"/>
        <v>0</v>
      </c>
    </row>
    <row r="1435" spans="1:6">
      <c r="A1435" s="217">
        <v>223102</v>
      </c>
      <c r="B1435" s="218" t="s">
        <v>22</v>
      </c>
      <c r="C1435" s="306"/>
      <c r="D1435" s="174"/>
      <c r="E1435" s="175"/>
      <c r="F1435" s="174">
        <f t="shared" si="38"/>
        <v>0</v>
      </c>
    </row>
    <row r="1436" spans="1:6">
      <c r="A1436" s="217">
        <v>223103</v>
      </c>
      <c r="B1436" s="218" t="s">
        <v>340</v>
      </c>
      <c r="C1436" s="306"/>
      <c r="D1436" s="174"/>
      <c r="E1436" s="174"/>
      <c r="F1436" s="174">
        <f t="shared" si="38"/>
        <v>0</v>
      </c>
    </row>
    <row r="1437" spans="1:6">
      <c r="A1437" s="246">
        <v>2244</v>
      </c>
      <c r="B1437" s="247" t="s">
        <v>321</v>
      </c>
      <c r="C1437" s="306"/>
      <c r="D1437" s="52">
        <f>SUM(D1438:D1439)</f>
        <v>0</v>
      </c>
      <c r="E1437" s="52">
        <f>SUM(E1438:E1439)</f>
        <v>0</v>
      </c>
      <c r="F1437" s="52">
        <f t="shared" si="38"/>
        <v>0</v>
      </c>
    </row>
    <row r="1438" spans="1:6">
      <c r="A1438" s="217">
        <v>224401</v>
      </c>
      <c r="B1438" s="218" t="s">
        <v>344</v>
      </c>
      <c r="C1438" s="306"/>
      <c r="D1438" s="174"/>
      <c r="E1438" s="174"/>
      <c r="F1438" s="174">
        <f t="shared" si="38"/>
        <v>0</v>
      </c>
    </row>
    <row r="1439" spans="1:6">
      <c r="A1439" s="217">
        <v>224402</v>
      </c>
      <c r="B1439" s="218" t="s">
        <v>323</v>
      </c>
      <c r="C1439" s="306"/>
      <c r="D1439" s="174"/>
      <c r="E1439" s="174"/>
      <c r="F1439" s="174">
        <f t="shared" si="38"/>
        <v>0</v>
      </c>
    </row>
    <row r="1440" spans="1:6">
      <c r="A1440" s="246">
        <v>2281</v>
      </c>
      <c r="B1440" s="247" t="s">
        <v>13</v>
      </c>
      <c r="C1440" s="306"/>
      <c r="D1440" s="52">
        <f>D1441</f>
        <v>0</v>
      </c>
      <c r="E1440" s="52">
        <f>E1441</f>
        <v>0</v>
      </c>
      <c r="F1440" s="52">
        <f t="shared" si="38"/>
        <v>0</v>
      </c>
    </row>
    <row r="1441" spans="1:6">
      <c r="A1441" s="217">
        <v>228101</v>
      </c>
      <c r="B1441" s="218" t="s">
        <v>325</v>
      </c>
      <c r="C1441" s="306"/>
      <c r="D1441" s="174"/>
      <c r="E1441" s="173"/>
      <c r="F1441" s="173">
        <f t="shared" si="38"/>
        <v>0</v>
      </c>
    </row>
    <row r="1442" spans="1:6" ht="55.75">
      <c r="A1442" s="225">
        <v>40401</v>
      </c>
      <c r="B1442" s="255" t="s">
        <v>60</v>
      </c>
      <c r="C1442" s="306"/>
      <c r="D1442" s="169" t="s">
        <v>261</v>
      </c>
      <c r="E1442" s="169" t="s">
        <v>358</v>
      </c>
      <c r="F1442" s="169" t="s">
        <v>363</v>
      </c>
    </row>
    <row r="1443" spans="1:6">
      <c r="A1443" s="234" t="s">
        <v>5</v>
      </c>
      <c r="B1443" s="235" t="s">
        <v>65</v>
      </c>
      <c r="C1443" s="306"/>
      <c r="D1443" s="158">
        <f>D1444+D1455</f>
        <v>0</v>
      </c>
      <c r="E1443" s="158">
        <f>E1444+E1455</f>
        <v>0</v>
      </c>
      <c r="F1443" s="158">
        <f>E1443/12</f>
        <v>0</v>
      </c>
    </row>
    <row r="1444" spans="1:6">
      <c r="A1444" s="228">
        <v>21</v>
      </c>
      <c r="B1444" s="229" t="s">
        <v>6</v>
      </c>
      <c r="C1444" s="306"/>
      <c r="D1444" s="172">
        <f>D1445</f>
        <v>0</v>
      </c>
      <c r="E1444" s="172">
        <f>E1445</f>
        <v>0</v>
      </c>
      <c r="F1444" s="172">
        <f t="shared" ref="F1444:F1488" si="39">E1444/12</f>
        <v>0</v>
      </c>
    </row>
    <row r="1445" spans="1:6">
      <c r="A1445" s="85">
        <v>211</v>
      </c>
      <c r="B1445" s="86" t="s">
        <v>7</v>
      </c>
      <c r="C1445" s="306"/>
      <c r="D1445" s="62">
        <f>D1446+D1449+D1453</f>
        <v>0</v>
      </c>
      <c r="E1445" s="62">
        <f>E1446+E1449+E1453</f>
        <v>0</v>
      </c>
      <c r="F1445" s="62">
        <f t="shared" si="39"/>
        <v>0</v>
      </c>
    </row>
    <row r="1446" spans="1:6">
      <c r="A1446" s="74">
        <v>2111</v>
      </c>
      <c r="B1446" s="194" t="s">
        <v>8</v>
      </c>
      <c r="C1446" s="306"/>
      <c r="D1446" s="52">
        <f>SUM(D1447:D1448)</f>
        <v>0</v>
      </c>
      <c r="E1446" s="52">
        <f>SUM(E1447:E1448)</f>
        <v>0</v>
      </c>
      <c r="F1446" s="52">
        <f t="shared" si="39"/>
        <v>0</v>
      </c>
    </row>
    <row r="1447" spans="1:6">
      <c r="A1447" s="217">
        <v>211101</v>
      </c>
      <c r="B1447" s="218" t="s">
        <v>9</v>
      </c>
      <c r="C1447" s="306"/>
      <c r="D1447" s="173"/>
      <c r="E1447" s="173"/>
      <c r="F1447" s="173">
        <f t="shared" si="39"/>
        <v>0</v>
      </c>
    </row>
    <row r="1448" spans="1:6">
      <c r="A1448" s="217">
        <v>211106</v>
      </c>
      <c r="B1448" s="218" t="s">
        <v>33</v>
      </c>
      <c r="C1448" s="306"/>
      <c r="D1448" s="173"/>
      <c r="E1448" s="173"/>
      <c r="F1448" s="173">
        <f t="shared" si="39"/>
        <v>0</v>
      </c>
    </row>
    <row r="1449" spans="1:6">
      <c r="A1449" s="74">
        <v>2113</v>
      </c>
      <c r="B1449" s="194" t="s">
        <v>10</v>
      </c>
      <c r="C1449" s="306"/>
      <c r="D1449" s="52">
        <f>SUM(D1450:D1452)</f>
        <v>0</v>
      </c>
      <c r="E1449" s="52">
        <f>SUM(E1450:E1452)</f>
        <v>0</v>
      </c>
      <c r="F1449" s="52">
        <f t="shared" si="39"/>
        <v>0</v>
      </c>
    </row>
    <row r="1450" spans="1:6">
      <c r="A1450" s="217">
        <v>211301</v>
      </c>
      <c r="B1450" s="218" t="s">
        <v>11</v>
      </c>
      <c r="C1450" s="306"/>
      <c r="D1450" s="174"/>
      <c r="E1450" s="174"/>
      <c r="F1450" s="174">
        <f t="shared" si="39"/>
        <v>0</v>
      </c>
    </row>
    <row r="1451" spans="1:6">
      <c r="A1451" s="217">
        <v>211306</v>
      </c>
      <c r="B1451" s="218" t="s">
        <v>34</v>
      </c>
      <c r="C1451" s="306"/>
      <c r="D1451" s="173"/>
      <c r="E1451" s="173"/>
      <c r="F1451" s="174">
        <f t="shared" si="39"/>
        <v>0</v>
      </c>
    </row>
    <row r="1452" spans="1:6">
      <c r="A1452" s="217">
        <v>211308</v>
      </c>
      <c r="B1452" s="218" t="s">
        <v>12</v>
      </c>
      <c r="C1452" s="306"/>
      <c r="D1452" s="174"/>
      <c r="E1452" s="173"/>
      <c r="F1452" s="174">
        <f t="shared" si="39"/>
        <v>0</v>
      </c>
    </row>
    <row r="1453" spans="1:6">
      <c r="A1453" s="74">
        <v>2115</v>
      </c>
      <c r="B1453" s="194" t="s">
        <v>13</v>
      </c>
      <c r="C1453" s="306"/>
      <c r="D1453" s="52">
        <f>D1454</f>
        <v>0</v>
      </c>
      <c r="E1453" s="52">
        <f>E1454</f>
        <v>0</v>
      </c>
      <c r="F1453" s="52">
        <f t="shared" si="39"/>
        <v>0</v>
      </c>
    </row>
    <row r="1454" spans="1:6">
      <c r="A1454" s="217">
        <v>211501</v>
      </c>
      <c r="B1454" s="218" t="s">
        <v>14</v>
      </c>
      <c r="C1454" s="306"/>
      <c r="D1454" s="174"/>
      <c r="E1454" s="173"/>
      <c r="F1454" s="173">
        <f t="shared" si="39"/>
        <v>0</v>
      </c>
    </row>
    <row r="1455" spans="1:6">
      <c r="A1455" s="228">
        <v>22</v>
      </c>
      <c r="B1455" s="229" t="s">
        <v>15</v>
      </c>
      <c r="C1455" s="306"/>
      <c r="D1455" s="172">
        <f>D1456</f>
        <v>0</v>
      </c>
      <c r="E1455" s="172">
        <f>E1456</f>
        <v>0</v>
      </c>
      <c r="F1455" s="172">
        <f t="shared" si="39"/>
        <v>0</v>
      </c>
    </row>
    <row r="1456" spans="1:6">
      <c r="A1456" s="85">
        <v>221</v>
      </c>
      <c r="B1456" s="86" t="s">
        <v>16</v>
      </c>
      <c r="C1456" s="306"/>
      <c r="D1456" s="62">
        <f>D1457+D1461+D1464+D1467+D1470+D1475+D1480+D1484+D1487</f>
        <v>0</v>
      </c>
      <c r="E1456" s="62">
        <f>E1457+E1461+E1464+E1467+E1470+E1475+E1480+E1484+E1487</f>
        <v>0</v>
      </c>
      <c r="F1456" s="62">
        <f t="shared" si="39"/>
        <v>0</v>
      </c>
    </row>
    <row r="1457" spans="1:6">
      <c r="A1457" s="74">
        <v>2211</v>
      </c>
      <c r="B1457" s="194" t="s">
        <v>304</v>
      </c>
      <c r="C1457" s="306"/>
      <c r="D1457" s="52">
        <f>SUM(D1458:D1460)</f>
        <v>0</v>
      </c>
      <c r="E1457" s="52">
        <f>SUM(E1458:E1460)</f>
        <v>0</v>
      </c>
      <c r="F1457" s="52">
        <f t="shared" si="39"/>
        <v>0</v>
      </c>
    </row>
    <row r="1458" spans="1:6">
      <c r="A1458" s="268">
        <v>221101</v>
      </c>
      <c r="B1458" s="269" t="s">
        <v>305</v>
      </c>
      <c r="C1458" s="306"/>
      <c r="D1458" s="173"/>
      <c r="E1458" s="173"/>
      <c r="F1458" s="174">
        <f t="shared" si="39"/>
        <v>0</v>
      </c>
    </row>
    <row r="1459" spans="1:6">
      <c r="A1459" s="268">
        <v>221102</v>
      </c>
      <c r="B1459" s="269" t="s">
        <v>30</v>
      </c>
      <c r="C1459" s="306"/>
      <c r="D1459" s="173"/>
      <c r="E1459" s="173"/>
      <c r="F1459" s="174">
        <f t="shared" si="39"/>
        <v>0</v>
      </c>
    </row>
    <row r="1460" spans="1:6">
      <c r="A1460" s="217">
        <v>221103</v>
      </c>
      <c r="B1460" s="218" t="s">
        <v>306</v>
      </c>
      <c r="C1460" s="306"/>
      <c r="D1460" s="173"/>
      <c r="E1460" s="174"/>
      <c r="F1460" s="174">
        <f t="shared" si="39"/>
        <v>0</v>
      </c>
    </row>
    <row r="1461" spans="1:6">
      <c r="A1461" s="246">
        <v>2221</v>
      </c>
      <c r="B1461" s="247" t="s">
        <v>17</v>
      </c>
      <c r="C1461" s="306"/>
      <c r="D1461" s="52">
        <f>SUM(D1462:D1463)</f>
        <v>0</v>
      </c>
      <c r="E1461" s="52">
        <f>SUM(E1462:E1463)</f>
        <v>0</v>
      </c>
      <c r="F1461" s="52">
        <f t="shared" si="39"/>
        <v>0</v>
      </c>
    </row>
    <row r="1462" spans="1:6">
      <c r="A1462" s="217">
        <v>222101</v>
      </c>
      <c r="B1462" s="218" t="s">
        <v>18</v>
      </c>
      <c r="C1462" s="306"/>
      <c r="D1462" s="174"/>
      <c r="E1462" s="174"/>
      <c r="F1462" s="174">
        <f t="shared" si="39"/>
        <v>0</v>
      </c>
    </row>
    <row r="1463" spans="1:6">
      <c r="A1463" s="217">
        <v>222102</v>
      </c>
      <c r="B1463" s="218" t="s">
        <v>19</v>
      </c>
      <c r="C1463" s="306"/>
      <c r="D1463" s="173"/>
      <c r="E1463" s="174"/>
      <c r="F1463" s="174">
        <f t="shared" si="39"/>
        <v>0</v>
      </c>
    </row>
    <row r="1464" spans="1:6">
      <c r="A1464" s="74">
        <v>2222</v>
      </c>
      <c r="B1464" s="194" t="s">
        <v>20</v>
      </c>
      <c r="C1464" s="306"/>
      <c r="D1464" s="52">
        <f>SUM(D1465:D1466)</f>
        <v>0</v>
      </c>
      <c r="E1464" s="52">
        <f>SUM(E1465:E1466)</f>
        <v>0</v>
      </c>
      <c r="F1464" s="52">
        <f t="shared" si="39"/>
        <v>0</v>
      </c>
    </row>
    <row r="1465" spans="1:6">
      <c r="A1465" s="217">
        <v>222201</v>
      </c>
      <c r="B1465" s="218" t="s">
        <v>309</v>
      </c>
      <c r="C1465" s="306"/>
      <c r="D1465" s="173"/>
      <c r="E1465" s="173"/>
      <c r="F1465" s="173">
        <f t="shared" si="39"/>
        <v>0</v>
      </c>
    </row>
    <row r="1466" spans="1:6">
      <c r="A1466" s="217">
        <v>222202</v>
      </c>
      <c r="B1466" s="218" t="s">
        <v>328</v>
      </c>
      <c r="C1466" s="306"/>
      <c r="D1466" s="174"/>
      <c r="E1466" s="173"/>
      <c r="F1466" s="173">
        <f t="shared" si="39"/>
        <v>0</v>
      </c>
    </row>
    <row r="1467" spans="1:6">
      <c r="A1467" s="246">
        <v>2223</v>
      </c>
      <c r="B1467" s="247" t="s">
        <v>23</v>
      </c>
      <c r="C1467" s="306"/>
      <c r="D1467" s="52">
        <f>SUM(D1468:D1469)</f>
        <v>0</v>
      </c>
      <c r="E1467" s="52">
        <f>SUM(E1468:E1469)</f>
        <v>0</v>
      </c>
      <c r="F1467" s="52">
        <f t="shared" si="39"/>
        <v>0</v>
      </c>
    </row>
    <row r="1468" spans="1:6">
      <c r="A1468" s="217">
        <v>222301</v>
      </c>
      <c r="B1468" s="218" t="s">
        <v>310</v>
      </c>
      <c r="C1468" s="306"/>
      <c r="D1468" s="173"/>
      <c r="E1468" s="173"/>
      <c r="F1468" s="174">
        <f t="shared" si="39"/>
        <v>0</v>
      </c>
    </row>
    <row r="1469" spans="1:6">
      <c r="A1469" s="217">
        <v>222302</v>
      </c>
      <c r="B1469" s="218" t="s">
        <v>24</v>
      </c>
      <c r="C1469" s="306"/>
      <c r="D1469" s="174"/>
      <c r="E1469" s="173"/>
      <c r="F1469" s="174">
        <f t="shared" si="39"/>
        <v>0</v>
      </c>
    </row>
    <row r="1470" spans="1:6">
      <c r="A1470" s="246">
        <v>2224</v>
      </c>
      <c r="B1470" s="194" t="s">
        <v>330</v>
      </c>
      <c r="C1470" s="306"/>
      <c r="D1470" s="52">
        <f>SUM(D1471:D1474)</f>
        <v>0</v>
      </c>
      <c r="E1470" s="52">
        <f>SUM(E1471:E1474)</f>
        <v>0</v>
      </c>
      <c r="F1470" s="52">
        <f t="shared" si="39"/>
        <v>0</v>
      </c>
    </row>
    <row r="1471" spans="1:6">
      <c r="A1471" s="217">
        <v>222401</v>
      </c>
      <c r="B1471" s="218" t="s">
        <v>343</v>
      </c>
      <c r="C1471" s="306"/>
      <c r="D1471" s="173"/>
      <c r="E1471" s="175"/>
      <c r="F1471" s="175">
        <f t="shared" si="39"/>
        <v>0</v>
      </c>
    </row>
    <row r="1472" spans="1:6">
      <c r="A1472" s="217">
        <v>222403</v>
      </c>
      <c r="B1472" s="218" t="s">
        <v>312</v>
      </c>
      <c r="C1472" s="306"/>
      <c r="D1472" s="173"/>
      <c r="E1472" s="175"/>
      <c r="F1472" s="175">
        <f t="shared" si="39"/>
        <v>0</v>
      </c>
    </row>
    <row r="1473" spans="1:6">
      <c r="A1473" s="217">
        <v>222404</v>
      </c>
      <c r="B1473" s="218" t="s">
        <v>313</v>
      </c>
      <c r="C1473" s="306"/>
      <c r="D1473" s="173"/>
      <c r="E1473" s="175"/>
      <c r="F1473" s="175">
        <f t="shared" si="39"/>
        <v>0</v>
      </c>
    </row>
    <row r="1474" spans="1:6">
      <c r="A1474" s="217">
        <v>222405</v>
      </c>
      <c r="B1474" s="218" t="s">
        <v>314</v>
      </c>
      <c r="C1474" s="306"/>
      <c r="D1474" s="173"/>
      <c r="E1474" s="175"/>
      <c r="F1474" s="175">
        <f t="shared" si="39"/>
        <v>0</v>
      </c>
    </row>
    <row r="1475" spans="1:6">
      <c r="A1475" s="74">
        <v>2225</v>
      </c>
      <c r="B1475" s="194" t="s">
        <v>331</v>
      </c>
      <c r="C1475" s="306"/>
      <c r="D1475" s="52">
        <f>SUM(D1476:D1479)</f>
        <v>0</v>
      </c>
      <c r="E1475" s="52">
        <f>SUM(E1476:E1479)</f>
        <v>0</v>
      </c>
      <c r="F1475" s="52">
        <f t="shared" si="39"/>
        <v>0</v>
      </c>
    </row>
    <row r="1476" spans="1:6">
      <c r="A1476" s="217">
        <v>222501</v>
      </c>
      <c r="B1476" s="218" t="s">
        <v>315</v>
      </c>
      <c r="C1476" s="306"/>
      <c r="D1476" s="173"/>
      <c r="E1476" s="173"/>
      <c r="F1476" s="173">
        <f t="shared" si="39"/>
        <v>0</v>
      </c>
    </row>
    <row r="1477" spans="1:6">
      <c r="A1477" s="217">
        <v>222502</v>
      </c>
      <c r="B1477" s="218" t="s">
        <v>316</v>
      </c>
      <c r="C1477" s="306"/>
      <c r="D1477" s="173"/>
      <c r="E1477" s="173"/>
      <c r="F1477" s="173">
        <f t="shared" si="39"/>
        <v>0</v>
      </c>
    </row>
    <row r="1478" spans="1:6">
      <c r="A1478" s="217">
        <v>222503</v>
      </c>
      <c r="B1478" s="218" t="s">
        <v>317</v>
      </c>
      <c r="C1478" s="306"/>
      <c r="D1478" s="173"/>
      <c r="E1478" s="173"/>
      <c r="F1478" s="173">
        <f t="shared" si="39"/>
        <v>0</v>
      </c>
    </row>
    <row r="1479" spans="1:6">
      <c r="A1479" s="217">
        <v>222504</v>
      </c>
      <c r="B1479" s="218" t="s">
        <v>318</v>
      </c>
      <c r="C1479" s="306"/>
      <c r="D1479" s="173"/>
      <c r="E1479" s="173"/>
      <c r="F1479" s="173">
        <f t="shared" si="39"/>
        <v>0</v>
      </c>
    </row>
    <row r="1480" spans="1:6">
      <c r="A1480" s="246">
        <v>2231</v>
      </c>
      <c r="B1480" s="247" t="s">
        <v>21</v>
      </c>
      <c r="C1480" s="306"/>
      <c r="D1480" s="52">
        <f>SUM(D1481:D1483)</f>
        <v>0</v>
      </c>
      <c r="E1480" s="52">
        <f>SUM(E1481:E1483)</f>
        <v>0</v>
      </c>
      <c r="F1480" s="52">
        <f t="shared" si="39"/>
        <v>0</v>
      </c>
    </row>
    <row r="1481" spans="1:6">
      <c r="A1481" s="217">
        <v>223101</v>
      </c>
      <c r="B1481" s="218" t="s">
        <v>319</v>
      </c>
      <c r="C1481" s="306"/>
      <c r="D1481" s="173"/>
      <c r="E1481" s="173"/>
      <c r="F1481" s="173">
        <f t="shared" si="39"/>
        <v>0</v>
      </c>
    </row>
    <row r="1482" spans="1:6">
      <c r="A1482" s="217">
        <v>223102</v>
      </c>
      <c r="B1482" s="218" t="s">
        <v>22</v>
      </c>
      <c r="C1482" s="306"/>
      <c r="D1482" s="174"/>
      <c r="E1482" s="173"/>
      <c r="F1482" s="173">
        <f t="shared" si="39"/>
        <v>0</v>
      </c>
    </row>
    <row r="1483" spans="1:6">
      <c r="A1483" s="217">
        <v>223103</v>
      </c>
      <c r="B1483" s="218" t="s">
        <v>340</v>
      </c>
      <c r="C1483" s="306"/>
      <c r="D1483" s="174"/>
      <c r="E1483" s="173"/>
      <c r="F1483" s="173">
        <f t="shared" si="39"/>
        <v>0</v>
      </c>
    </row>
    <row r="1484" spans="1:6">
      <c r="A1484" s="246">
        <v>2244</v>
      </c>
      <c r="B1484" s="247" t="s">
        <v>321</v>
      </c>
      <c r="C1484" s="306"/>
      <c r="D1484" s="52">
        <f>SUM(D1485:D1486)</f>
        <v>0</v>
      </c>
      <c r="E1484" s="52">
        <f>SUM(E1485:E1486)</f>
        <v>0</v>
      </c>
      <c r="F1484" s="52">
        <f t="shared" si="39"/>
        <v>0</v>
      </c>
    </row>
    <row r="1485" spans="1:6">
      <c r="A1485" s="217">
        <v>224401</v>
      </c>
      <c r="B1485" s="218" t="s">
        <v>344</v>
      </c>
      <c r="C1485" s="306"/>
      <c r="D1485" s="174"/>
      <c r="E1485" s="173"/>
      <c r="F1485" s="174">
        <f t="shared" si="39"/>
        <v>0</v>
      </c>
    </row>
    <row r="1486" spans="1:6">
      <c r="A1486" s="217">
        <v>224402</v>
      </c>
      <c r="B1486" s="218" t="s">
        <v>323</v>
      </c>
      <c r="C1486" s="306"/>
      <c r="D1486" s="174"/>
      <c r="E1486" s="174"/>
      <c r="F1486" s="174">
        <f t="shared" si="39"/>
        <v>0</v>
      </c>
    </row>
    <row r="1487" spans="1:6">
      <c r="A1487" s="246">
        <v>2281</v>
      </c>
      <c r="B1487" s="247" t="s">
        <v>13</v>
      </c>
      <c r="C1487" s="306"/>
      <c r="D1487" s="52">
        <f>D1488</f>
        <v>0</v>
      </c>
      <c r="E1487" s="52">
        <f>E1488</f>
        <v>0</v>
      </c>
      <c r="F1487" s="52">
        <f t="shared" si="39"/>
        <v>0</v>
      </c>
    </row>
    <row r="1488" spans="1:6">
      <c r="A1488" s="217">
        <v>228101</v>
      </c>
      <c r="B1488" s="218" t="s">
        <v>325</v>
      </c>
      <c r="C1488" s="306"/>
      <c r="D1488" s="174"/>
      <c r="E1488" s="174"/>
      <c r="F1488" s="174">
        <f t="shared" si="39"/>
        <v>0</v>
      </c>
    </row>
    <row r="1489" spans="1:6" ht="55.75">
      <c r="A1489" s="225">
        <v>40501</v>
      </c>
      <c r="B1489" s="357" t="s">
        <v>67</v>
      </c>
      <c r="C1489" s="306"/>
      <c r="D1489" s="169" t="s">
        <v>261</v>
      </c>
      <c r="E1489" s="169" t="s">
        <v>358</v>
      </c>
      <c r="F1489" s="169" t="s">
        <v>363</v>
      </c>
    </row>
    <row r="1490" spans="1:6">
      <c r="A1490" s="234" t="s">
        <v>5</v>
      </c>
      <c r="B1490" s="235" t="s">
        <v>65</v>
      </c>
      <c r="C1490" s="306"/>
      <c r="D1490" s="158">
        <f>D1491+D1502</f>
        <v>0</v>
      </c>
      <c r="E1490" s="158">
        <f>E1491+E1502</f>
        <v>0</v>
      </c>
      <c r="F1490" s="158">
        <f>E1490/12</f>
        <v>0</v>
      </c>
    </row>
    <row r="1491" spans="1:6">
      <c r="A1491" s="228">
        <v>21</v>
      </c>
      <c r="B1491" s="229" t="s">
        <v>6</v>
      </c>
      <c r="C1491" s="306"/>
      <c r="D1491" s="172">
        <f>D1492</f>
        <v>0</v>
      </c>
      <c r="E1491" s="172">
        <f>E1492</f>
        <v>0</v>
      </c>
      <c r="F1491" s="172">
        <f t="shared" ref="F1491:F1535" si="40">E1491/12</f>
        <v>0</v>
      </c>
    </row>
    <row r="1492" spans="1:6">
      <c r="A1492" s="85">
        <v>211</v>
      </c>
      <c r="B1492" s="86" t="s">
        <v>7</v>
      </c>
      <c r="C1492" s="306"/>
      <c r="D1492" s="62">
        <f>D1493+D1496+D1500</f>
        <v>0</v>
      </c>
      <c r="E1492" s="62">
        <f>E1493+E1496+E1500</f>
        <v>0</v>
      </c>
      <c r="F1492" s="62">
        <f t="shared" si="40"/>
        <v>0</v>
      </c>
    </row>
    <row r="1493" spans="1:6">
      <c r="A1493" s="74">
        <v>2111</v>
      </c>
      <c r="B1493" s="194" t="s">
        <v>8</v>
      </c>
      <c r="C1493" s="306"/>
      <c r="D1493" s="52">
        <f>SUM(D1494:D1495)</f>
        <v>0</v>
      </c>
      <c r="E1493" s="52">
        <f>SUM(E1494:E1495)</f>
        <v>0</v>
      </c>
      <c r="F1493" s="52">
        <f t="shared" si="40"/>
        <v>0</v>
      </c>
    </row>
    <row r="1494" spans="1:6">
      <c r="A1494" s="217">
        <v>211101</v>
      </c>
      <c r="B1494" s="218" t="s">
        <v>9</v>
      </c>
      <c r="C1494" s="306"/>
      <c r="D1494" s="173"/>
      <c r="E1494" s="173"/>
      <c r="F1494" s="173">
        <f t="shared" si="40"/>
        <v>0</v>
      </c>
    </row>
    <row r="1495" spans="1:6">
      <c r="A1495" s="217">
        <v>211106</v>
      </c>
      <c r="B1495" s="218" t="s">
        <v>33</v>
      </c>
      <c r="C1495" s="306"/>
      <c r="D1495" s="173"/>
      <c r="E1495" s="173"/>
      <c r="F1495" s="173">
        <f t="shared" si="40"/>
        <v>0</v>
      </c>
    </row>
    <row r="1496" spans="1:6">
      <c r="A1496" s="74">
        <v>2113</v>
      </c>
      <c r="B1496" s="194" t="s">
        <v>10</v>
      </c>
      <c r="C1496" s="306"/>
      <c r="D1496" s="52">
        <f>SUM(D1497:D1499)</f>
        <v>0</v>
      </c>
      <c r="E1496" s="52">
        <f>SUM(E1497:E1499)</f>
        <v>0</v>
      </c>
      <c r="F1496" s="52">
        <f t="shared" si="40"/>
        <v>0</v>
      </c>
    </row>
    <row r="1497" spans="1:6">
      <c r="A1497" s="217">
        <v>211301</v>
      </c>
      <c r="B1497" s="218" t="s">
        <v>11</v>
      </c>
      <c r="C1497" s="306"/>
      <c r="D1497" s="174"/>
      <c r="E1497" s="173"/>
      <c r="F1497" s="173">
        <f t="shared" si="40"/>
        <v>0</v>
      </c>
    </row>
    <row r="1498" spans="1:6">
      <c r="A1498" s="217">
        <v>211306</v>
      </c>
      <c r="B1498" s="218" t="s">
        <v>34</v>
      </c>
      <c r="C1498" s="306"/>
      <c r="D1498" s="173"/>
      <c r="E1498" s="173"/>
      <c r="F1498" s="173">
        <f t="shared" si="40"/>
        <v>0</v>
      </c>
    </row>
    <row r="1499" spans="1:6">
      <c r="A1499" s="217">
        <v>211308</v>
      </c>
      <c r="B1499" s="218" t="s">
        <v>12</v>
      </c>
      <c r="C1499" s="306"/>
      <c r="D1499" s="174"/>
      <c r="E1499" s="173"/>
      <c r="F1499" s="173">
        <f t="shared" si="40"/>
        <v>0</v>
      </c>
    </row>
    <row r="1500" spans="1:6">
      <c r="A1500" s="74">
        <v>2115</v>
      </c>
      <c r="B1500" s="194" t="s">
        <v>13</v>
      </c>
      <c r="C1500" s="306"/>
      <c r="D1500" s="52">
        <f>D1501</f>
        <v>0</v>
      </c>
      <c r="E1500" s="52">
        <f>E1501</f>
        <v>0</v>
      </c>
      <c r="F1500" s="52">
        <f t="shared" si="40"/>
        <v>0</v>
      </c>
    </row>
    <row r="1501" spans="1:6">
      <c r="A1501" s="217">
        <v>211501</v>
      </c>
      <c r="B1501" s="218" t="s">
        <v>14</v>
      </c>
      <c r="C1501" s="306"/>
      <c r="D1501" s="174"/>
      <c r="E1501" s="174"/>
      <c r="F1501" s="174">
        <f t="shared" si="40"/>
        <v>0</v>
      </c>
    </row>
    <row r="1502" spans="1:6">
      <c r="A1502" s="228">
        <v>22</v>
      </c>
      <c r="B1502" s="229" t="s">
        <v>15</v>
      </c>
      <c r="C1502" s="306"/>
      <c r="D1502" s="172">
        <f>D1503</f>
        <v>0</v>
      </c>
      <c r="E1502" s="172">
        <f>E1503</f>
        <v>0</v>
      </c>
      <c r="F1502" s="172">
        <f t="shared" si="40"/>
        <v>0</v>
      </c>
    </row>
    <row r="1503" spans="1:6">
      <c r="A1503" s="85">
        <v>221</v>
      </c>
      <c r="B1503" s="86" t="s">
        <v>16</v>
      </c>
      <c r="C1503" s="306"/>
      <c r="D1503" s="62">
        <f>D1504+D1508+D1511+D1514+D1517+D1522+D1527+D1531+D1534</f>
        <v>0</v>
      </c>
      <c r="E1503" s="62">
        <f>E1504+E1508+E1511+E1514+E1517+E1522+E1527+E1531+E1534</f>
        <v>0</v>
      </c>
      <c r="F1503" s="62">
        <f t="shared" si="40"/>
        <v>0</v>
      </c>
    </row>
    <row r="1504" spans="1:6">
      <c r="A1504" s="74">
        <v>2211</v>
      </c>
      <c r="B1504" s="194" t="s">
        <v>304</v>
      </c>
      <c r="C1504" s="306"/>
      <c r="D1504" s="52">
        <f>SUM(D1505:D1507)</f>
        <v>0</v>
      </c>
      <c r="E1504" s="52">
        <f>SUM(E1505:E1507)</f>
        <v>0</v>
      </c>
      <c r="F1504" s="52">
        <f t="shared" si="40"/>
        <v>0</v>
      </c>
    </row>
    <row r="1505" spans="1:6">
      <c r="A1505" s="268">
        <v>221101</v>
      </c>
      <c r="B1505" s="269" t="s">
        <v>305</v>
      </c>
      <c r="C1505" s="306"/>
      <c r="D1505" s="173"/>
      <c r="E1505" s="173"/>
      <c r="F1505" s="173">
        <f t="shared" si="40"/>
        <v>0</v>
      </c>
    </row>
    <row r="1506" spans="1:6">
      <c r="A1506" s="268">
        <v>221102</v>
      </c>
      <c r="B1506" s="269" t="s">
        <v>30</v>
      </c>
      <c r="C1506" s="306"/>
      <c r="D1506" s="173"/>
      <c r="E1506" s="173"/>
      <c r="F1506" s="173">
        <f t="shared" si="40"/>
        <v>0</v>
      </c>
    </row>
    <row r="1507" spans="1:6">
      <c r="A1507" s="217">
        <v>221103</v>
      </c>
      <c r="B1507" s="218" t="s">
        <v>306</v>
      </c>
      <c r="C1507" s="306"/>
      <c r="D1507" s="173"/>
      <c r="E1507" s="173"/>
      <c r="F1507" s="173">
        <f t="shared" si="40"/>
        <v>0</v>
      </c>
    </row>
    <row r="1508" spans="1:6">
      <c r="A1508" s="246">
        <v>2221</v>
      </c>
      <c r="B1508" s="247" t="s">
        <v>17</v>
      </c>
      <c r="C1508" s="306"/>
      <c r="D1508" s="52">
        <f>SUM(D1509:D1510)</f>
        <v>0</v>
      </c>
      <c r="E1508" s="52">
        <f>SUM(E1509:E1510)</f>
        <v>0</v>
      </c>
      <c r="F1508" s="52">
        <f t="shared" si="40"/>
        <v>0</v>
      </c>
    </row>
    <row r="1509" spans="1:6">
      <c r="A1509" s="217">
        <v>222101</v>
      </c>
      <c r="B1509" s="218" t="s">
        <v>18</v>
      </c>
      <c r="C1509" s="306"/>
      <c r="D1509" s="174"/>
      <c r="E1509" s="174"/>
      <c r="F1509" s="173">
        <f t="shared" si="40"/>
        <v>0</v>
      </c>
    </row>
    <row r="1510" spans="1:6">
      <c r="A1510" s="217">
        <v>222102</v>
      </c>
      <c r="B1510" s="218" t="s">
        <v>19</v>
      </c>
      <c r="C1510" s="306"/>
      <c r="D1510" s="173"/>
      <c r="E1510" s="173"/>
      <c r="F1510" s="173">
        <f t="shared" si="40"/>
        <v>0</v>
      </c>
    </row>
    <row r="1511" spans="1:6">
      <c r="A1511" s="74">
        <v>2222</v>
      </c>
      <c r="B1511" s="194" t="s">
        <v>20</v>
      </c>
      <c r="C1511" s="306"/>
      <c r="D1511" s="52">
        <f>SUM(D1512:D1513)</f>
        <v>0</v>
      </c>
      <c r="E1511" s="52">
        <f>SUM(E1512:E1513)</f>
        <v>0</v>
      </c>
      <c r="F1511" s="52">
        <f t="shared" si="40"/>
        <v>0</v>
      </c>
    </row>
    <row r="1512" spans="1:6">
      <c r="A1512" s="217">
        <v>222201</v>
      </c>
      <c r="B1512" s="218" t="s">
        <v>309</v>
      </c>
      <c r="C1512" s="306"/>
      <c r="D1512" s="173"/>
      <c r="E1512" s="175"/>
      <c r="F1512" s="174">
        <f t="shared" si="40"/>
        <v>0</v>
      </c>
    </row>
    <row r="1513" spans="1:6">
      <c r="A1513" s="217">
        <v>222202</v>
      </c>
      <c r="B1513" s="218" t="s">
        <v>328</v>
      </c>
      <c r="C1513" s="306"/>
      <c r="D1513" s="174"/>
      <c r="E1513" s="174"/>
      <c r="F1513" s="174">
        <f t="shared" si="40"/>
        <v>0</v>
      </c>
    </row>
    <row r="1514" spans="1:6">
      <c r="A1514" s="246">
        <v>2223</v>
      </c>
      <c r="B1514" s="247" t="s">
        <v>23</v>
      </c>
      <c r="C1514" s="306"/>
      <c r="D1514" s="52">
        <f>SUM(D1515:D1516)</f>
        <v>0</v>
      </c>
      <c r="E1514" s="52">
        <f>SUM(E1515:E1516)</f>
        <v>0</v>
      </c>
      <c r="F1514" s="52">
        <f t="shared" si="40"/>
        <v>0</v>
      </c>
    </row>
    <row r="1515" spans="1:6">
      <c r="A1515" s="217">
        <v>222301</v>
      </c>
      <c r="B1515" s="218" t="s">
        <v>310</v>
      </c>
      <c r="C1515" s="306"/>
      <c r="D1515" s="173"/>
      <c r="E1515" s="173"/>
      <c r="F1515" s="173">
        <f t="shared" si="40"/>
        <v>0</v>
      </c>
    </row>
    <row r="1516" spans="1:6">
      <c r="A1516" s="217">
        <v>222302</v>
      </c>
      <c r="B1516" s="218" t="s">
        <v>24</v>
      </c>
      <c r="C1516" s="306"/>
      <c r="D1516" s="174"/>
      <c r="E1516" s="173"/>
      <c r="F1516" s="173">
        <f t="shared" si="40"/>
        <v>0</v>
      </c>
    </row>
    <row r="1517" spans="1:6">
      <c r="A1517" s="246">
        <v>2224</v>
      </c>
      <c r="B1517" s="194" t="s">
        <v>330</v>
      </c>
      <c r="C1517" s="306"/>
      <c r="D1517" s="52">
        <f>SUM(D1518:D1521)</f>
        <v>0</v>
      </c>
      <c r="E1517" s="52">
        <f>SUM(E1518:E1521)</f>
        <v>0</v>
      </c>
      <c r="F1517" s="52">
        <f t="shared" si="40"/>
        <v>0</v>
      </c>
    </row>
    <row r="1518" spans="1:6">
      <c r="A1518" s="217">
        <v>222401</v>
      </c>
      <c r="B1518" s="218" t="s">
        <v>343</v>
      </c>
      <c r="C1518" s="306"/>
      <c r="D1518" s="173"/>
      <c r="E1518" s="173"/>
      <c r="F1518" s="173">
        <f t="shared" si="40"/>
        <v>0</v>
      </c>
    </row>
    <row r="1519" spans="1:6">
      <c r="A1519" s="217">
        <v>222403</v>
      </c>
      <c r="B1519" s="218" t="s">
        <v>312</v>
      </c>
      <c r="C1519" s="306"/>
      <c r="D1519" s="173"/>
      <c r="E1519" s="173"/>
      <c r="F1519" s="173">
        <f t="shared" si="40"/>
        <v>0</v>
      </c>
    </row>
    <row r="1520" spans="1:6">
      <c r="A1520" s="217">
        <v>222404</v>
      </c>
      <c r="B1520" s="218" t="s">
        <v>313</v>
      </c>
      <c r="C1520" s="306"/>
      <c r="D1520" s="173"/>
      <c r="E1520" s="173"/>
      <c r="F1520" s="173">
        <f t="shared" si="40"/>
        <v>0</v>
      </c>
    </row>
    <row r="1521" spans="1:6">
      <c r="A1521" s="217">
        <v>222405</v>
      </c>
      <c r="B1521" s="218" t="s">
        <v>314</v>
      </c>
      <c r="C1521" s="306"/>
      <c r="D1521" s="173"/>
      <c r="E1521" s="173"/>
      <c r="F1521" s="173">
        <f t="shared" si="40"/>
        <v>0</v>
      </c>
    </row>
    <row r="1522" spans="1:6">
      <c r="A1522" s="74">
        <v>2225</v>
      </c>
      <c r="B1522" s="194" t="s">
        <v>331</v>
      </c>
      <c r="C1522" s="306"/>
      <c r="D1522" s="52">
        <f>SUM(D1523:D1526)</f>
        <v>0</v>
      </c>
      <c r="E1522" s="52">
        <f>SUM(E1523:E1526)</f>
        <v>0</v>
      </c>
      <c r="F1522" s="52">
        <f t="shared" si="40"/>
        <v>0</v>
      </c>
    </row>
    <row r="1523" spans="1:6">
      <c r="A1523" s="217">
        <v>222501</v>
      </c>
      <c r="B1523" s="218" t="s">
        <v>315</v>
      </c>
      <c r="C1523" s="306"/>
      <c r="D1523" s="173"/>
      <c r="E1523" s="173"/>
      <c r="F1523" s="173">
        <f t="shared" si="40"/>
        <v>0</v>
      </c>
    </row>
    <row r="1524" spans="1:6">
      <c r="A1524" s="217">
        <v>222502</v>
      </c>
      <c r="B1524" s="218" t="s">
        <v>316</v>
      </c>
      <c r="C1524" s="306"/>
      <c r="D1524" s="173"/>
      <c r="E1524" s="173"/>
      <c r="F1524" s="173">
        <f t="shared" si="40"/>
        <v>0</v>
      </c>
    </row>
    <row r="1525" spans="1:6">
      <c r="A1525" s="217">
        <v>222503</v>
      </c>
      <c r="B1525" s="218" t="s">
        <v>317</v>
      </c>
      <c r="C1525" s="306"/>
      <c r="D1525" s="173"/>
      <c r="E1525" s="173"/>
      <c r="F1525" s="173">
        <f t="shared" si="40"/>
        <v>0</v>
      </c>
    </row>
    <row r="1526" spans="1:6">
      <c r="A1526" s="217">
        <v>222504</v>
      </c>
      <c r="B1526" s="218" t="s">
        <v>318</v>
      </c>
      <c r="C1526" s="306"/>
      <c r="D1526" s="173"/>
      <c r="E1526" s="173"/>
      <c r="F1526" s="173">
        <f t="shared" si="40"/>
        <v>0</v>
      </c>
    </row>
    <row r="1527" spans="1:6">
      <c r="A1527" s="246">
        <v>2231</v>
      </c>
      <c r="B1527" s="247" t="s">
        <v>21</v>
      </c>
      <c r="C1527" s="306"/>
      <c r="D1527" s="52">
        <f>SUM(D1528:D1530)</f>
        <v>0</v>
      </c>
      <c r="E1527" s="52">
        <f>SUM(E1528:E1530)</f>
        <v>0</v>
      </c>
      <c r="F1527" s="52">
        <f t="shared" si="40"/>
        <v>0</v>
      </c>
    </row>
    <row r="1528" spans="1:6">
      <c r="A1528" s="217">
        <v>223101</v>
      </c>
      <c r="B1528" s="218" t="s">
        <v>319</v>
      </c>
      <c r="C1528" s="306"/>
      <c r="D1528" s="173"/>
      <c r="E1528" s="173"/>
      <c r="F1528" s="173">
        <f t="shared" si="40"/>
        <v>0</v>
      </c>
    </row>
    <row r="1529" spans="1:6">
      <c r="A1529" s="217">
        <v>223102</v>
      </c>
      <c r="B1529" s="218" t="s">
        <v>22</v>
      </c>
      <c r="C1529" s="306"/>
      <c r="D1529" s="173"/>
      <c r="E1529" s="173"/>
      <c r="F1529" s="173">
        <f t="shared" si="40"/>
        <v>0</v>
      </c>
    </row>
    <row r="1530" spans="1:6">
      <c r="A1530" s="217">
        <v>223103</v>
      </c>
      <c r="B1530" s="218" t="s">
        <v>340</v>
      </c>
      <c r="C1530" s="306"/>
      <c r="D1530" s="174"/>
      <c r="E1530" s="173"/>
      <c r="F1530" s="173">
        <f t="shared" si="40"/>
        <v>0</v>
      </c>
    </row>
    <row r="1531" spans="1:6">
      <c r="A1531" s="246">
        <v>2244</v>
      </c>
      <c r="B1531" s="247" t="s">
        <v>321</v>
      </c>
      <c r="C1531" s="306"/>
      <c r="D1531" s="52">
        <f>SUM(D1532:D1533)</f>
        <v>0</v>
      </c>
      <c r="E1531" s="52">
        <f>SUM(E1532:E1533)</f>
        <v>0</v>
      </c>
      <c r="F1531" s="52">
        <f t="shared" si="40"/>
        <v>0</v>
      </c>
    </row>
    <row r="1532" spans="1:6">
      <c r="A1532" s="217">
        <v>224401</v>
      </c>
      <c r="B1532" s="218" t="s">
        <v>344</v>
      </c>
      <c r="C1532" s="306"/>
      <c r="D1532" s="174"/>
      <c r="E1532" s="173"/>
      <c r="F1532" s="173">
        <f t="shared" si="40"/>
        <v>0</v>
      </c>
    </row>
    <row r="1533" spans="1:6">
      <c r="A1533" s="217">
        <v>224402</v>
      </c>
      <c r="B1533" s="218" t="s">
        <v>323</v>
      </c>
      <c r="C1533" s="306"/>
      <c r="D1533" s="174"/>
      <c r="E1533" s="173"/>
      <c r="F1533" s="173">
        <f t="shared" si="40"/>
        <v>0</v>
      </c>
    </row>
    <row r="1534" spans="1:6">
      <c r="A1534" s="246">
        <v>2281</v>
      </c>
      <c r="B1534" s="247" t="s">
        <v>13</v>
      </c>
      <c r="C1534" s="306"/>
      <c r="D1534" s="52">
        <f>D1535</f>
        <v>0</v>
      </c>
      <c r="E1534" s="52">
        <f>E1535</f>
        <v>0</v>
      </c>
      <c r="F1534" s="52">
        <f t="shared" si="40"/>
        <v>0</v>
      </c>
    </row>
    <row r="1535" spans="1:6">
      <c r="A1535" s="217">
        <v>228101</v>
      </c>
      <c r="B1535" s="218" t="s">
        <v>325</v>
      </c>
      <c r="C1535" s="306"/>
      <c r="D1535" s="174"/>
      <c r="E1535" s="174"/>
      <c r="F1535" s="174">
        <f t="shared" si="40"/>
        <v>0</v>
      </c>
    </row>
  </sheetData>
  <autoFilter ref="A3:F74">
    <filterColumn colId="2" showButton="0"/>
    <filterColumn colId="5" showButton="0"/>
  </autoFilter>
  <sortState ref="A273:Q274">
    <sortCondition ref="A273"/>
  </sortState>
  <mergeCells count="4">
    <mergeCell ref="A1:E1"/>
    <mergeCell ref="C3:D3"/>
    <mergeCell ref="E3:F3"/>
    <mergeCell ref="C226:D226"/>
  </mergeCells>
  <phoneticPr fontId="28" type="noConversion"/>
  <printOptions horizontalCentered="1"/>
  <pageMargins left="0.25" right="0.25" top="0.25" bottom="0.2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Shaxda 1.1 </vt:lpstr>
      <vt:lpstr>Shaxda 1.2</vt:lpstr>
      <vt:lpstr>Shaxda 2.1</vt:lpstr>
      <vt:lpstr>10101</vt:lpstr>
      <vt:lpstr>'10101'!Print_Area</vt:lpstr>
      <vt:lpstr>'Shaxda 1.1 '!Print_Area</vt:lpstr>
      <vt:lpstr>'Shaxda 1.2'!Print_Area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Surgo</dc:creator>
  <cp:lastModifiedBy>hodan</cp:lastModifiedBy>
  <cp:lastPrinted>2024-12-13T00:03:00Z</cp:lastPrinted>
  <dcterms:created xsi:type="dcterms:W3CDTF">2024-11-19T17:11:55Z</dcterms:created>
  <dcterms:modified xsi:type="dcterms:W3CDTF">2026-09-28T07:10:12Z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2024-11-19T00:00:00Z</vt:filetime>
  </property>
  <property fmtid="{D5CDD505-2E9C-101B-9397-08002B2CF9AE}" pid="3" name="Producer">
    <vt:lpwstr>iLovePDF</vt:lpwstr>
  </property>
</Properties>
</file>